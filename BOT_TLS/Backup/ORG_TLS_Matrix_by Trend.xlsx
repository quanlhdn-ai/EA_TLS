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BOT TLS_SMC\"/>
    </mc:Choice>
  </mc:AlternateContent>
  <xr:revisionPtr revIDLastSave="0" documentId="13_ncr:1_{A753180D-0079-4430-86C9-AB916A9DC3F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LS_Matrix" sheetId="1" r:id="rId1"/>
    <sheet name="Sheet1" sheetId="4" r:id="rId2"/>
    <sheet name="Value" sheetId="5" r:id="rId3"/>
    <sheet name="Module" sheetId="3" r:id="rId4"/>
  </sheets>
  <definedNames>
    <definedName name="_xlnm._FilterDatabase" localSheetId="1" hidden="1">Sheet1!$A$1:$E$17</definedName>
    <definedName name="_xlnm._FilterDatabase" localSheetId="0" hidden="1">TLS_Matrix!$A$2:$P$218</definedName>
    <definedName name="_xlnm._FilterDatabase" localSheetId="2" hidden="1">Value!$A$1:$C$40</definedName>
    <definedName name="BE_Trigger_R">Value!$B$12:$B$15</definedName>
    <definedName name="Entry_Type">Value!$B$2:$B$8</definedName>
    <definedName name="Location_Filter">Value!$B$38:$B$39</definedName>
    <definedName name="Partial_Pct">Value!$B$21:$B$25</definedName>
    <definedName name="Partial_R">Value!$B$16:$B$20</definedName>
    <definedName name="Risk_Multiplier">Value!$B$9:$B$11</definedName>
    <definedName name="TP_Param">Value!$B$30:$B$33</definedName>
    <definedName name="TP_Strategy">Value!$B$26:$B$29</definedName>
    <definedName name="Trail_Strategy">Value!$B$34:$B$37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4" i="1" l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3" i="1"/>
  <c r="M1" i="1"/>
  <c r="L1" i="1"/>
  <c r="K1" i="1"/>
  <c r="J1" i="1"/>
  <c r="I1" i="1"/>
  <c r="H1" i="1"/>
  <c r="G1" i="1"/>
  <c r="F1" i="1"/>
  <c r="E1" i="1"/>
  <c r="D1" i="1"/>
  <c r="C1" i="1"/>
  <c r="B1" i="1"/>
  <c r="N1" i="1" l="1"/>
</calcChain>
</file>

<file path=xl/sharedStrings.xml><?xml version="1.0" encoding="utf-8"?>
<sst xmlns="http://schemas.openxmlformats.org/spreadsheetml/2006/main" count="1914" uniqueCount="97">
  <si>
    <t>HTF_State</t>
  </si>
  <si>
    <t>Maj_State</t>
  </si>
  <si>
    <t>Min_State</t>
  </si>
  <si>
    <t>Entry_Type</t>
  </si>
  <si>
    <t>Risk_Multiplier</t>
  </si>
  <si>
    <t>BE_Trigger_R</t>
  </si>
  <si>
    <t>Partial_R</t>
  </si>
  <si>
    <t>Partial_Pct</t>
  </si>
  <si>
    <t>TP_Strategy</t>
  </si>
  <si>
    <t>TP_Param</t>
  </si>
  <si>
    <t>Trail_Strategy</t>
  </si>
  <si>
    <t>Dash_Note</t>
  </si>
  <si>
    <t>Impulse Up - BoS Up</t>
  </si>
  <si>
    <t>FIXED_R</t>
  </si>
  <si>
    <t>Impulse Up - BoS Down</t>
  </si>
  <si>
    <t>Impulse Down - ChoCh Down</t>
  </si>
  <si>
    <t>Impulse Down - BoS Down</t>
  </si>
  <si>
    <t>Impulse Down - BoS Up</t>
  </si>
  <si>
    <t>Impulse Up - ChoCh Up</t>
  </si>
  <si>
    <t>1.0</t>
  </si>
  <si>
    <t>0.5</t>
  </si>
  <si>
    <t>2.0</t>
  </si>
  <si>
    <t>1.5</t>
  </si>
  <si>
    <t>KEY_LEVEL</t>
  </si>
  <si>
    <t>⚙️ MODULE 1: VÀO LỆNH &amp; ĐIỀU PHỐI KHỐI LƯỢNG (Đã hoàn thành)</t>
  </si>
  <si>
    <t>🛡️ MODULE 2: BẢO VỆ VÀ RÚT GỐC (Sẽ code)</t>
  </si>
  <si>
    <t>Module này chạy trên từng Tick giá khi Lệnh đã khớp và đang chạy. Nó liên tục đo lường khoảng cách từ Entry đến giá hiện tại theo đơn vị R (Risk).</t>
  </si>
  <si>
    <t>3.  BE_Trigger_R (Breakeven): Công tắc kích hoạt dời SL hòa vốn.</t>
  </si>
  <si>
    <t>4.  Partial_R: Mốc lợi nhuận kích hoạt chốt lời từng phần.</t>
  </si>
  <si>
    <t>5.  Partial_Pct: Tỷ lệ % khối lượng sẽ bị cắt đi khi chạm mốc Partial_R.</t>
  </si>
  <si>
    <t>6.  TP_Strategy: Chiến thuật chốt lời (Chốt theo R cứng, hoặc chốt tại Zone đối diện...).
7.  TP_Param: Con số phục vụ cho chiến thuật trên (Ví dụ nếu chọn chốt theo R cứng, thì số 5 ở đây nghĩa là 5R).
8.  Trail_Strategy: Chiến thuật dời SL động để bám đuôi giá (Bám theo đỉnh đáy Minor, bám theo nến...).</t>
  </si>
  <si>
    <r>
      <t xml:space="preserve">Module này chạy khi </t>
    </r>
    <r>
      <rPr>
        <b/>
        <sz val="11"/>
        <color theme="1"/>
        <rFont val="Arial"/>
        <family val="2"/>
        <scheme val="minor"/>
      </rPr>
      <t>Chưa có lệnh</t>
    </r>
    <r>
      <rPr>
        <sz val="11"/>
        <color theme="1"/>
        <rFont val="Arial"/>
        <family val="2"/>
        <scheme val="minor"/>
      </rPr>
      <t>. Nó đọc tín hiệu từ biểu đồ và quyết định xem có bắn lệnh hay không.</t>
    </r>
  </si>
  <si>
    <r>
      <t xml:space="preserve">🚀 MODULE 3: GỒNG SÓNG VÀ CHỐT LÃI (Sẽ code)
</t>
    </r>
    <r>
      <rPr>
        <sz val="11"/>
        <color theme="1"/>
        <rFont val="Arial"/>
        <family val="2"/>
        <scheme val="minor"/>
      </rPr>
      <t>Module này kích hoạt khi lệnh đã an toàn (đã dời BE hoặc đã chốt 1 phần), nhiệm vụ của nó là vắt kiệt lợi nhuận.</t>
    </r>
  </si>
  <si>
    <r>
      <t>1. Entry_Type:</t>
    </r>
    <r>
      <rPr>
        <sz val="11"/>
        <color theme="1"/>
        <rFont val="Arial"/>
        <family val="2"/>
        <scheme val="minor"/>
      </rPr>
      <t xml:space="preserve"> Bot đọc để biết nên đặt lệnh ở đâu (Buy/Sell, ở Major Zone hay Minor Zone).</t>
    </r>
  </si>
  <si>
    <r>
      <t>2. Risk_Multiplier:</t>
    </r>
    <r>
      <rPr>
        <sz val="11"/>
        <color theme="1"/>
        <rFont val="Arial"/>
        <family val="2"/>
        <scheme val="minor"/>
      </rPr>
      <t xml:space="preserve"> Bot đọc để nhân bản khối lượng. (Ví dụ chuẩn là 0.5% tài khoản, nếu cột này ghi 1.5, Bot sẽ tự động nâng rủi ro lên 0.75%).</t>
    </r>
  </si>
  <si>
    <t>OPPOSITE_ZONE</t>
  </si>
  <si>
    <t>HTF_KEY_LEVEL</t>
  </si>
  <si>
    <t>NONE</t>
  </si>
  <si>
    <t>TRAIL_MINOR</t>
  </si>
  <si>
    <t>TRAIL_MAJOR</t>
  </si>
  <si>
    <t>TRAIL_R</t>
  </si>
  <si>
    <t>Hành động</t>
  </si>
  <si>
    <t>Tăng</t>
  </si>
  <si>
    <t>Buy dài</t>
  </si>
  <si>
    <t>Giảm</t>
  </si>
  <si>
    <t>Đứng ngoài</t>
  </si>
  <si>
    <t>Buy ngắn</t>
  </si>
  <si>
    <t>Buy ngắn (rủi ro)</t>
  </si>
  <si>
    <t>Sell dài</t>
  </si>
  <si>
    <t>Sell ngắn</t>
  </si>
  <si>
    <t>Sell ngắn (rủi ro)</t>
  </si>
  <si>
    <t>M15-Major</t>
  </si>
  <si>
    <t>M1  - Major</t>
  </si>
  <si>
    <t>M1 - Minor</t>
  </si>
  <si>
    <t>M15 - Minor</t>
  </si>
  <si>
    <t>Location_Filter</t>
  </si>
  <si>
    <t>HTF_ZONE</t>
  </si>
  <si>
    <t>Tên Cột trong CSV</t>
  </si>
  <si>
    <t>Giá trị nhập chuẩn (Nhập chính xác chữ)</t>
  </si>
  <si>
    <t>Ý nghĩa / Mô tả hành động của Bot</t>
  </si>
  <si>
    <t>Buy Limit tại mép Buy Zone M1 Major, Cắt lỗ ở đáy Major.</t>
  </si>
  <si>
    <t>Sell Limit tại mép Sell Zone M1 Major, Cắt lỗ ở đỉnh Major.</t>
  </si>
  <si>
    <t>Buy Limit tại Minor Buy Zone, Cắt lỗ ngắn ở đáy Minor.</t>
  </si>
  <si>
    <t>Sell Limit tại Minor Sell Zone, Cắt lỗ ngắn ở đỉnh Minor.</t>
  </si>
  <si>
    <t>Buy Limit tại Minor Buy Zone, Cắt lỗ an toàn ở đáy Major.</t>
  </si>
  <si>
    <t>Sell Limit tại Minor Sell Zone, Cắt lỗ an toàn ở đỉnh Major.</t>
  </si>
  <si>
    <t>Đánh rủi ro chuẩn (Ví dụ: 0.5% / lệnh như Setting).</t>
  </si>
  <si>
    <t>Giảm rủi ro đi một nửa (Bằng 0.5 * 0.5 = 0.25%).</t>
  </si>
  <si>
    <t>Gấp đôi rủi ro (Nhồi lệnh / Sóng đẹp).</t>
  </si>
  <si>
    <t>KHÔNG dời SL hòa vốn (Tắt tính năng).</t>
  </si>
  <si>
    <t>KHÔNG chốt lời từng phần.</t>
  </si>
  <si>
    <t>Đạt lợi nhuận mức R này thì tiến hành chốt bớt Volume.</t>
  </si>
  <si>
    <t>Chốt bao nhiêu % Volume ban đầu (Ví dụ: 50 = Chốt 1/2 vị thế). Nếu cột Partial_R = 0 thì cột này vô tác dụng.</t>
  </si>
  <si>
    <t>Chốt lời cố định theo tỷ lệ R (Risk-Reward).</t>
  </si>
  <si>
    <t>Chốt lời ở mép Zone đối diện của khung M1 (Cản gần nhất).</t>
  </si>
  <si>
    <t>Chốt lời ở điểm xoay (Swing High/Low) gần nhất của M1.</t>
  </si>
  <si>
    <t>Chốt lời ở điểm xoay (Swing High/Low) gần nhất của M15.</t>
  </si>
  <si>
    <t>Tham số bổ trợ cho cột TP_Strategy bên trên:- Nếu là FIXED_R: Đây là số R (Ví dụ 3.0 = TP 3R).- Nếu là OPPOSITE_ZONE: Số Pip dời cách mép Zone đối diện ra để tránh trượt lệnh (Ví dụ: 2 = Chốt trước Zone đối diện 2 pips).</t>
  </si>
  <si>
    <t>Tắt tính năng Trailing Stop (Bám đuôi).</t>
  </si>
  <si>
    <t>Dời SL bám theo mép Zone của sóng Minor M1 (Chặt chẽ, dễ cắn nhưng giữ lãi tốt).</t>
  </si>
  <si>
    <t>Dời SL bám theo mép Zone của sóng Major M1 (Lỏng hơn, nuôi trend dài).</t>
  </si>
  <si>
    <t>Trailing Stop theo Từng nấc R (Ví dụ giá lên 3R dời SL về 2R, giá lên 4R dời về 3R...).</t>
  </si>
  <si>
    <t>KHÔNG cần điều kiện Vị trí. Cứ đúng cấu trúc M1 là quất.</t>
  </si>
  <si>
    <t>Bật Người Gác Cổng: Bắt buộc Cửa Gatekeeper M15 phải đang MỞ (Đã test HTF Zone) mới được vào lệnh.</t>
  </si>
  <si>
    <t>116-Dung ngoai vv...</t>
  </si>
  <si>
    <t>Nội dung ghi chú, sẽ được ném thẳng lên Dashboard (dòng Action màu hồng) để anh dễ theo dõi.</t>
  </si>
  <si>
    <t>3.0</t>
  </si>
  <si>
    <t>5.0</t>
  </si>
  <si>
    <t>10.0</t>
  </si>
  <si>
    <t>Đạt lợi nhuận mức R này thì lập tức dời SL về Entry.</t>
  </si>
  <si>
    <t>STT</t>
  </si>
  <si>
    <t xml:space="preserve"> (Xóa hết lệnh Limit cũ nếu có)</t>
  </si>
  <si>
    <t>Chốt 20% Vol</t>
  </si>
  <si>
    <t>Chốt 30% Vol</t>
  </si>
  <si>
    <t>Chốt 50% Vol</t>
  </si>
  <si>
    <t>Chốt 80% Vol</t>
  </si>
  <si>
    <t>Chốt 100% 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</si>
</sst>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65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FF0000"/>
      <name val="Arial"/>
      <family val="2"/>
      <scheme val="minor"/>
    </font>
    <font>
      <sz val="14"/>
      <color theme="1"/>
      <name val="Arial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vertical="center" wrapText="1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wrapText="1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8" fillId="0" borderId="10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9" fillId="34" borderId="10" xfId="0" applyFont="1" applyFill="1" applyBorder="1" applyAlignment="1">
      <alignment horizontal="left" vertical="center" wrapText="1"/>
    </xf>
    <xf numFmtId="0" fontId="16" fillId="34" borderId="0" xfId="0" applyFont="1" applyFill="1" applyAlignment="1">
      <alignment horizontal="left" vertical="center"/>
    </xf>
    <xf numFmtId="0" fontId="19" fillId="0" borderId="10" xfId="0" applyFont="1" applyFill="1" applyBorder="1" applyAlignment="1">
      <alignment horizontal="left" vertical="center" wrapText="1"/>
    </xf>
    <xf numFmtId="0" fontId="16" fillId="0" borderId="0" xfId="0" applyFont="1" applyFill="1" applyAlignment="1">
      <alignment horizontal="left" vertical="center"/>
    </xf>
    <xf numFmtId="0" fontId="18" fillId="0" borderId="10" xfId="0" applyFont="1" applyFill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16" fillId="33" borderId="0" xfId="0" applyFont="1" applyFill="1" applyAlignment="1">
      <alignment vertical="center" wrapText="1" readingOrder="1"/>
    </xf>
    <xf numFmtId="0" fontId="16" fillId="33" borderId="0" xfId="0" applyFont="1" applyFill="1" applyAlignment="1">
      <alignment horizontal="center" vertical="center" readingOrder="1"/>
    </xf>
    <xf numFmtId="0" fontId="16" fillId="33" borderId="0" xfId="0" applyFont="1" applyFill="1" applyAlignment="1">
      <alignment horizontal="center" vertical="center" wrapText="1" readingOrder="1"/>
    </xf>
    <xf numFmtId="0" fontId="21" fillId="0" borderId="0" xfId="0" applyFont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11" xfId="0" applyFont="1" applyBorder="1" applyAlignment="1">
      <alignment horizontal="left" vertical="center"/>
    </xf>
    <xf numFmtId="0" fontId="0" fillId="35" borderId="0" xfId="0" applyFill="1" applyAlignment="1">
      <alignment horizontal="center" vertical="center"/>
    </xf>
    <xf numFmtId="0" fontId="0" fillId="35" borderId="0" xfId="0" applyFill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8"/>
  <sheetViews>
    <sheetView tabSelected="1" topLeftCell="H1" zoomScale="70" zoomScaleNormal="70" workbookViewId="0">
      <pane ySplit="2" topLeftCell="A199" activePane="bottomLeft" state="frozen"/>
      <selection activeCell="B1" sqref="B1"/>
      <selection pane="bottomLeft" activeCell="B2" sqref="B2:N218"/>
    </sheetView>
  </sheetViews>
  <sheetFormatPr defaultColWidth="9.1640625" defaultRowHeight="20.149999999999999" customHeight="1" x14ac:dyDescent="0.3"/>
  <cols>
    <col min="1" max="1" width="10.33203125" style="2" bestFit="1" customWidth="1"/>
    <col min="2" max="2" width="26.5" style="1" bestFit="1" customWidth="1"/>
    <col min="3" max="4" width="24.5" style="1" bestFit="1" customWidth="1"/>
    <col min="5" max="5" width="16.25" style="2" bestFit="1" customWidth="1"/>
    <col min="6" max="6" width="19.5" style="2" bestFit="1" customWidth="1"/>
    <col min="7" max="7" width="18.9140625" style="2" bestFit="1" customWidth="1"/>
    <col min="8" max="8" width="14.33203125" style="2" bestFit="1" customWidth="1"/>
    <col min="9" max="9" width="15.83203125" style="2" bestFit="1" customWidth="1"/>
    <col min="10" max="10" width="17.08203125" style="2" bestFit="1" customWidth="1"/>
    <col min="11" max="11" width="15.33203125" style="2" bestFit="1" customWidth="1"/>
    <col min="12" max="12" width="18.6640625" style="2" bestFit="1" customWidth="1"/>
    <col min="13" max="13" width="19.5" style="2" bestFit="1" customWidth="1"/>
    <col min="14" max="14" width="86.75" style="1" bestFit="1" customWidth="1"/>
    <col min="15" max="15" width="35.75" style="1" bestFit="1" customWidth="1"/>
    <col min="16" max="16" width="61.1640625" style="1" bestFit="1" customWidth="1"/>
    <col min="17" max="16384" width="9.1640625" style="1"/>
  </cols>
  <sheetData>
    <row r="1" spans="1:16" s="21" customFormat="1" ht="58.5" customHeight="1" x14ac:dyDescent="0.3">
      <c r="A1" s="22">
        <v>159</v>
      </c>
      <c r="B1" s="22" t="str">
        <f>VLOOKUP($A$1,$A$3:$N$218,2,0)</f>
        <v>Impulse Down - BoS Up</v>
      </c>
      <c r="C1" s="22" t="str">
        <f>VLOOKUP($A$1,$A$3:$N$218,3,0)</f>
        <v>Impulse Down - ChoCh Down</v>
      </c>
      <c r="D1" s="22" t="str">
        <f>VLOOKUP($A$1,$A$3:$N$218,4,0)</f>
        <v>Impulse Down - ChoCh Down</v>
      </c>
      <c r="E1" s="22">
        <f>VLOOKUP($A$1,$A$3:$N$218,5,0)</f>
        <v>2</v>
      </c>
      <c r="F1" s="22" t="str">
        <f>VLOOKUP($A$1,$A$3:$N$218,6,0)</f>
        <v>1.0</v>
      </c>
      <c r="G1" s="22">
        <f>VLOOKUP($A$1,$A$3:$N$218,7,0)</f>
        <v>0</v>
      </c>
      <c r="H1" s="22">
        <f>VLOOKUP($A$1,$A$3:$N$218,8,0)</f>
        <v>0</v>
      </c>
      <c r="I1" s="22">
        <f>VLOOKUP($A$1,$A$3:$N$218,9,0)</f>
        <v>0</v>
      </c>
      <c r="J1" s="22" t="str">
        <f>VLOOKUP($A$1,$A$3:$N$218,10,0)</f>
        <v>FIXED_R</v>
      </c>
      <c r="K1" s="22" t="str">
        <f>VLOOKUP($A$1,$A$3:$N$218,11,0)</f>
        <v>2.0</v>
      </c>
      <c r="L1" s="22" t="str">
        <f>VLOOKUP($A$1,$A$3:$N$218,12,0)</f>
        <v>NONE</v>
      </c>
      <c r="M1" s="22" t="str">
        <f>VLOOKUP($A$1,$A$3:$N$218,13,0)</f>
        <v>HTF_ZONE</v>
      </c>
      <c r="N1" s="23" t="str">
        <f>VLOOKUP($A$1,$A$3:$N$218,14,0)</f>
        <v>159-Sell Limit tại mép Sell Zone M1 Major, Cắt lỗ ở đỉnh Major.TP: FIXED_R2.0</v>
      </c>
    </row>
    <row r="2" spans="1:16" s="18" customFormat="1" ht="34.5" customHeight="1" x14ac:dyDescent="0.3">
      <c r="A2" s="20" t="s">
        <v>90</v>
      </c>
      <c r="B2" s="18" t="s">
        <v>0</v>
      </c>
      <c r="C2" s="18" t="s">
        <v>1</v>
      </c>
      <c r="D2" s="18" t="s">
        <v>2</v>
      </c>
      <c r="E2" s="19" t="s">
        <v>3</v>
      </c>
      <c r="F2" s="19" t="s">
        <v>4</v>
      </c>
      <c r="G2" s="19" t="s">
        <v>5</v>
      </c>
      <c r="H2" s="19" t="s">
        <v>6</v>
      </c>
      <c r="I2" s="19" t="s">
        <v>7</v>
      </c>
      <c r="J2" s="19" t="s">
        <v>8</v>
      </c>
      <c r="K2" s="19" t="s">
        <v>9</v>
      </c>
      <c r="L2" s="19" t="s">
        <v>10</v>
      </c>
      <c r="M2" s="19" t="s">
        <v>55</v>
      </c>
      <c r="N2" s="18" t="s">
        <v>11</v>
      </c>
    </row>
    <row r="3" spans="1:16" ht="20.149999999999999" customHeight="1" x14ac:dyDescent="0.3">
      <c r="A3" s="2">
        <v>1</v>
      </c>
      <c r="B3" s="1" t="s">
        <v>12</v>
      </c>
      <c r="C3" s="1" t="s">
        <v>12</v>
      </c>
      <c r="D3" s="1" t="s">
        <v>12</v>
      </c>
      <c r="E3" s="2">
        <v>1</v>
      </c>
      <c r="F3" s="2" t="s">
        <v>19</v>
      </c>
      <c r="G3" s="2">
        <v>0</v>
      </c>
      <c r="H3" s="2">
        <v>0</v>
      </c>
      <c r="I3" s="2">
        <v>0</v>
      </c>
      <c r="J3" s="2" t="s">
        <v>13</v>
      </c>
      <c r="K3" s="2" t="s">
        <v>21</v>
      </c>
      <c r="L3" s="2" t="s">
        <v>37</v>
      </c>
      <c r="M3" s="2" t="s">
        <v>56</v>
      </c>
      <c r="N3" s="1" t="str">
        <f>_xlfn.CONCAT(A3, "-",VLOOKUP(E3,Value!$B$2:$C$8,2,0),"TP: ",J3,K3)</f>
        <v>1-Buy Limit tại mép Buy Zone M1 Major, Cắt lỗ ở đáy Major.TP: FIXED_R2.0</v>
      </c>
      <c r="O3" s="1" t="str">
        <f>VLOOKUP(J3,Value!$B$26:$C$29,2,0)</f>
        <v>Chốt lời cố định theo tỷ lệ R (Risk-Reward).</v>
      </c>
      <c r="P3" s="1" t="str">
        <f>VLOOKUP(L3,Value!$B$34:$C$37,2,0)</f>
        <v>Tắt tính năng Trailing Stop (Bám đuôi).</v>
      </c>
    </row>
    <row r="4" spans="1:16" ht="20.149999999999999" customHeight="1" x14ac:dyDescent="0.3">
      <c r="A4" s="2">
        <v>2</v>
      </c>
      <c r="B4" s="1" t="s">
        <v>12</v>
      </c>
      <c r="C4" s="1" t="s">
        <v>12</v>
      </c>
      <c r="D4" s="1" t="s">
        <v>14</v>
      </c>
      <c r="E4" s="2">
        <v>1</v>
      </c>
      <c r="F4" s="2" t="s">
        <v>19</v>
      </c>
      <c r="G4" s="2">
        <v>0</v>
      </c>
      <c r="H4" s="2">
        <v>0</v>
      </c>
      <c r="I4" s="2">
        <v>0</v>
      </c>
      <c r="J4" s="2" t="s">
        <v>13</v>
      </c>
      <c r="K4" s="2" t="s">
        <v>21</v>
      </c>
      <c r="L4" s="2" t="s">
        <v>37</v>
      </c>
      <c r="M4" s="2" t="s">
        <v>56</v>
      </c>
      <c r="N4" s="1" t="str">
        <f>_xlfn.CONCAT(A4, "-",VLOOKUP(E4,Value!$B$2:$C$8,2,0),"TP: ",J4,K4)</f>
        <v>2-Buy Limit tại mép Buy Zone M1 Major, Cắt lỗ ở đáy Major.TP: FIXED_R2.0</v>
      </c>
      <c r="O4" s="1" t="str">
        <f>VLOOKUP(J4,Value!$B$26:$C$29,2,0)</f>
        <v>Chốt lời cố định theo tỷ lệ R (Risk-Reward).</v>
      </c>
      <c r="P4" s="1" t="str">
        <f>VLOOKUP(L4,Value!$B$34:$C$37,2,0)</f>
        <v>Tắt tính năng Trailing Stop (Bám đuôi).</v>
      </c>
    </row>
    <row r="5" spans="1:16" ht="20.149999999999999" customHeight="1" x14ac:dyDescent="0.3">
      <c r="A5" s="2">
        <v>3</v>
      </c>
      <c r="B5" s="1" t="s">
        <v>12</v>
      </c>
      <c r="C5" s="1" t="s">
        <v>12</v>
      </c>
      <c r="D5" s="1" t="s">
        <v>15</v>
      </c>
      <c r="E5" s="2">
        <v>1</v>
      </c>
      <c r="F5" s="2" t="s">
        <v>19</v>
      </c>
      <c r="G5" s="2">
        <v>0</v>
      </c>
      <c r="H5" s="2">
        <v>0</v>
      </c>
      <c r="I5" s="2">
        <v>0</v>
      </c>
      <c r="J5" s="2" t="s">
        <v>13</v>
      </c>
      <c r="K5" s="2" t="s">
        <v>21</v>
      </c>
      <c r="L5" s="2" t="s">
        <v>37</v>
      </c>
      <c r="M5" s="2" t="s">
        <v>56</v>
      </c>
      <c r="N5" s="1" t="str">
        <f>_xlfn.CONCAT(A5, "-",VLOOKUP(E5,Value!$B$2:$C$8,2,0),"TP: ",J5,K5)</f>
        <v>3-Buy Limit tại mép Buy Zone M1 Major, Cắt lỗ ở đáy Major.TP: FIXED_R2.0</v>
      </c>
      <c r="O5" s="1" t="str">
        <f>VLOOKUP(J5,Value!$B$26:$C$29,2,0)</f>
        <v>Chốt lời cố định theo tỷ lệ R (Risk-Reward).</v>
      </c>
      <c r="P5" s="1" t="str">
        <f>VLOOKUP(L5,Value!$B$34:$C$37,2,0)</f>
        <v>Tắt tính năng Trailing Stop (Bám đuôi).</v>
      </c>
    </row>
    <row r="6" spans="1:16" ht="20.149999999999999" customHeight="1" x14ac:dyDescent="0.3">
      <c r="A6" s="2">
        <v>4</v>
      </c>
      <c r="B6" s="1" t="s">
        <v>12</v>
      </c>
      <c r="C6" s="1" t="s">
        <v>12</v>
      </c>
      <c r="D6" s="1" t="s">
        <v>16</v>
      </c>
      <c r="E6" s="2">
        <v>1</v>
      </c>
      <c r="F6" s="2" t="s">
        <v>19</v>
      </c>
      <c r="G6" s="2">
        <v>0</v>
      </c>
      <c r="H6" s="2">
        <v>0</v>
      </c>
      <c r="I6" s="2">
        <v>0</v>
      </c>
      <c r="J6" s="2" t="s">
        <v>13</v>
      </c>
      <c r="K6" s="2" t="s">
        <v>21</v>
      </c>
      <c r="L6" s="2" t="s">
        <v>37</v>
      </c>
      <c r="M6" s="2" t="s">
        <v>56</v>
      </c>
      <c r="N6" s="1" t="str">
        <f>_xlfn.CONCAT(A6, "-",VLOOKUP(E6,Value!$B$2:$C$8,2,0),"TP: ",J6,K6)</f>
        <v>4-Buy Limit tại mép Buy Zone M1 Major, Cắt lỗ ở đáy Major.TP: FIXED_R2.0</v>
      </c>
      <c r="O6" s="1" t="str">
        <f>VLOOKUP(J6,Value!$B$26:$C$29,2,0)</f>
        <v>Chốt lời cố định theo tỷ lệ R (Risk-Reward).</v>
      </c>
      <c r="P6" s="1" t="str">
        <f>VLOOKUP(L6,Value!$B$34:$C$37,2,0)</f>
        <v>Tắt tính năng Trailing Stop (Bám đuôi).</v>
      </c>
    </row>
    <row r="7" spans="1:16" ht="20.149999999999999" customHeight="1" x14ac:dyDescent="0.3">
      <c r="A7" s="2">
        <v>5</v>
      </c>
      <c r="B7" s="1" t="s">
        <v>12</v>
      </c>
      <c r="C7" s="1" t="s">
        <v>12</v>
      </c>
      <c r="D7" s="1" t="s">
        <v>17</v>
      </c>
      <c r="E7" s="2">
        <v>1</v>
      </c>
      <c r="F7" s="2" t="s">
        <v>19</v>
      </c>
      <c r="G7" s="2">
        <v>0</v>
      </c>
      <c r="H7" s="2">
        <v>0</v>
      </c>
      <c r="I7" s="2">
        <v>0</v>
      </c>
      <c r="J7" s="2" t="s">
        <v>13</v>
      </c>
      <c r="K7" s="2" t="s">
        <v>21</v>
      </c>
      <c r="L7" s="2" t="s">
        <v>37</v>
      </c>
      <c r="M7" s="2" t="s">
        <v>56</v>
      </c>
      <c r="N7" s="1" t="str">
        <f>_xlfn.CONCAT(A7, "-",VLOOKUP(E7,Value!$B$2:$C$8,2,0),"TP: ",J7,K7)</f>
        <v>5-Buy Limit tại mép Buy Zone M1 Major, Cắt lỗ ở đáy Major.TP: FIXED_R2.0</v>
      </c>
      <c r="O7" s="1" t="str">
        <f>VLOOKUP(J7,Value!$B$26:$C$29,2,0)</f>
        <v>Chốt lời cố định theo tỷ lệ R (Risk-Reward).</v>
      </c>
      <c r="P7" s="1" t="str">
        <f>VLOOKUP(L7,Value!$B$34:$C$37,2,0)</f>
        <v>Tắt tính năng Trailing Stop (Bám đuôi).</v>
      </c>
    </row>
    <row r="8" spans="1:16" ht="20.149999999999999" customHeight="1" x14ac:dyDescent="0.3">
      <c r="A8" s="2">
        <v>6</v>
      </c>
      <c r="B8" s="1" t="s">
        <v>12</v>
      </c>
      <c r="C8" s="1" t="s">
        <v>12</v>
      </c>
      <c r="D8" s="1" t="s">
        <v>18</v>
      </c>
      <c r="E8" s="2">
        <v>1</v>
      </c>
      <c r="F8" s="2" t="s">
        <v>19</v>
      </c>
      <c r="G8" s="2">
        <v>0</v>
      </c>
      <c r="H8" s="2">
        <v>0</v>
      </c>
      <c r="I8" s="2">
        <v>0</v>
      </c>
      <c r="J8" s="2" t="s">
        <v>13</v>
      </c>
      <c r="K8" s="2" t="s">
        <v>21</v>
      </c>
      <c r="L8" s="2" t="s">
        <v>37</v>
      </c>
      <c r="M8" s="2" t="s">
        <v>56</v>
      </c>
      <c r="N8" s="1" t="str">
        <f>_xlfn.CONCAT(A8, "-",VLOOKUP(E8,Value!$B$2:$C$8,2,0),"TP: ",J8,K8)</f>
        <v>6-Buy Limit tại mép Buy Zone M1 Major, Cắt lỗ ở đáy Major.TP: FIXED_R2.0</v>
      </c>
      <c r="O8" s="1" t="str">
        <f>VLOOKUP(J8,Value!$B$26:$C$29,2,0)</f>
        <v>Chốt lời cố định theo tỷ lệ R (Risk-Reward).</v>
      </c>
      <c r="P8" s="1" t="str">
        <f>VLOOKUP(L8,Value!$B$34:$C$37,2,0)</f>
        <v>Tắt tính năng Trailing Stop (Bám đuôi).</v>
      </c>
    </row>
    <row r="9" spans="1:16" ht="20.149999999999999" customHeight="1" x14ac:dyDescent="0.3">
      <c r="A9" s="2">
        <v>7</v>
      </c>
      <c r="B9" s="1" t="s">
        <v>12</v>
      </c>
      <c r="C9" s="1" t="s">
        <v>14</v>
      </c>
      <c r="D9" s="1" t="s">
        <v>12</v>
      </c>
      <c r="E9" s="2">
        <v>0</v>
      </c>
      <c r="F9" s="2" t="s">
        <v>19</v>
      </c>
      <c r="G9" s="2">
        <v>0</v>
      </c>
      <c r="H9" s="2">
        <v>0</v>
      </c>
      <c r="I9" s="2">
        <v>0</v>
      </c>
      <c r="J9" s="2" t="s">
        <v>13</v>
      </c>
      <c r="K9" s="2" t="s">
        <v>21</v>
      </c>
      <c r="L9" s="2" t="s">
        <v>37</v>
      </c>
      <c r="M9" s="2" t="s">
        <v>56</v>
      </c>
      <c r="N9" s="1" t="str">
        <f>_xlfn.CONCAT(A9, "-",VLOOKUP(E9,Value!$B$2:$C$8,2,0),"TP: ",J9,K9)</f>
        <v>7-Đứng ngoàiTP: FIXED_R2.0</v>
      </c>
      <c r="O9" s="1" t="str">
        <f>VLOOKUP(J9,Value!$B$26:$C$29,2,0)</f>
        <v>Chốt lời cố định theo tỷ lệ R (Risk-Reward).</v>
      </c>
      <c r="P9" s="1" t="str">
        <f>VLOOKUP(L9,Value!$B$34:$C$37,2,0)</f>
        <v>Tắt tính năng Trailing Stop (Bám đuôi).</v>
      </c>
    </row>
    <row r="10" spans="1:16" ht="20.149999999999999" customHeight="1" x14ac:dyDescent="0.3">
      <c r="A10" s="2">
        <v>8</v>
      </c>
      <c r="B10" s="1" t="s">
        <v>12</v>
      </c>
      <c r="C10" s="1" t="s">
        <v>14</v>
      </c>
      <c r="D10" s="1" t="s">
        <v>14</v>
      </c>
      <c r="E10" s="2">
        <v>0</v>
      </c>
      <c r="F10" s="2" t="s">
        <v>19</v>
      </c>
      <c r="G10" s="2">
        <v>0</v>
      </c>
      <c r="H10" s="2">
        <v>0</v>
      </c>
      <c r="I10" s="2">
        <v>0</v>
      </c>
      <c r="J10" s="2" t="s">
        <v>13</v>
      </c>
      <c r="K10" s="2" t="s">
        <v>21</v>
      </c>
      <c r="L10" s="2" t="s">
        <v>37</v>
      </c>
      <c r="M10" s="2" t="s">
        <v>56</v>
      </c>
      <c r="N10" s="1" t="str">
        <f>_xlfn.CONCAT(A10, "-",VLOOKUP(E10,Value!$B$2:$C$8,2,0),"TP: ",J10,K10)</f>
        <v>8-Đứng ngoàiTP: FIXED_R2.0</v>
      </c>
      <c r="O10" s="1" t="str">
        <f>VLOOKUP(J10,Value!$B$26:$C$29,2,0)</f>
        <v>Chốt lời cố định theo tỷ lệ R (Risk-Reward).</v>
      </c>
      <c r="P10" s="1" t="str">
        <f>VLOOKUP(L10,Value!$B$34:$C$37,2,0)</f>
        <v>Tắt tính năng Trailing Stop (Bám đuôi).</v>
      </c>
    </row>
    <row r="11" spans="1:16" ht="20.149999999999999" customHeight="1" x14ac:dyDescent="0.3">
      <c r="A11" s="2">
        <v>9</v>
      </c>
      <c r="B11" s="1" t="s">
        <v>12</v>
      </c>
      <c r="C11" s="1" t="s">
        <v>14</v>
      </c>
      <c r="D11" s="1" t="s">
        <v>15</v>
      </c>
      <c r="E11" s="2">
        <v>0</v>
      </c>
      <c r="F11" s="2" t="s">
        <v>19</v>
      </c>
      <c r="G11" s="2">
        <v>0</v>
      </c>
      <c r="H11" s="2">
        <v>0</v>
      </c>
      <c r="I11" s="2">
        <v>0</v>
      </c>
      <c r="J11" s="2" t="s">
        <v>13</v>
      </c>
      <c r="K11" s="2" t="s">
        <v>21</v>
      </c>
      <c r="L11" s="2" t="s">
        <v>37</v>
      </c>
      <c r="M11" s="2" t="s">
        <v>56</v>
      </c>
      <c r="N11" s="1" t="str">
        <f>_xlfn.CONCAT(A11, "-",VLOOKUP(E11,Value!$B$2:$C$8,2,0),"TP: ",J11,K11)</f>
        <v>9-Đứng ngoàiTP: FIXED_R2.0</v>
      </c>
      <c r="O11" s="1" t="str">
        <f>VLOOKUP(J11,Value!$B$26:$C$29,2,0)</f>
        <v>Chốt lời cố định theo tỷ lệ R (Risk-Reward).</v>
      </c>
      <c r="P11" s="1" t="str">
        <f>VLOOKUP(L11,Value!$B$34:$C$37,2,0)</f>
        <v>Tắt tính năng Trailing Stop (Bám đuôi).</v>
      </c>
    </row>
    <row r="12" spans="1:16" ht="20.149999999999999" customHeight="1" x14ac:dyDescent="0.3">
      <c r="A12" s="2">
        <v>10</v>
      </c>
      <c r="B12" s="1" t="s">
        <v>12</v>
      </c>
      <c r="C12" s="1" t="s">
        <v>14</v>
      </c>
      <c r="D12" s="1" t="s">
        <v>16</v>
      </c>
      <c r="E12" s="2">
        <v>0</v>
      </c>
      <c r="F12" s="2" t="s">
        <v>19</v>
      </c>
      <c r="G12" s="2">
        <v>0</v>
      </c>
      <c r="H12" s="2">
        <v>0</v>
      </c>
      <c r="I12" s="2">
        <v>0</v>
      </c>
      <c r="J12" s="2" t="s">
        <v>13</v>
      </c>
      <c r="K12" s="2" t="s">
        <v>21</v>
      </c>
      <c r="L12" s="2" t="s">
        <v>37</v>
      </c>
      <c r="M12" s="2" t="s">
        <v>56</v>
      </c>
      <c r="N12" s="1" t="str">
        <f>_xlfn.CONCAT(A12, "-",VLOOKUP(E12,Value!$B$2:$C$8,2,0),"TP: ",J12,K12)</f>
        <v>10-Đứng ngoàiTP: FIXED_R2.0</v>
      </c>
      <c r="O12" s="1" t="str">
        <f>VLOOKUP(J12,Value!$B$26:$C$29,2,0)</f>
        <v>Chốt lời cố định theo tỷ lệ R (Risk-Reward).</v>
      </c>
      <c r="P12" s="1" t="str">
        <f>VLOOKUP(L12,Value!$B$34:$C$37,2,0)</f>
        <v>Tắt tính năng Trailing Stop (Bám đuôi).</v>
      </c>
    </row>
    <row r="13" spans="1:16" ht="20.149999999999999" customHeight="1" x14ac:dyDescent="0.3">
      <c r="A13" s="2">
        <v>11</v>
      </c>
      <c r="B13" s="1" t="s">
        <v>12</v>
      </c>
      <c r="C13" s="1" t="s">
        <v>14</v>
      </c>
      <c r="D13" s="1" t="s">
        <v>17</v>
      </c>
      <c r="E13" s="2">
        <v>0</v>
      </c>
      <c r="F13" s="2" t="s">
        <v>19</v>
      </c>
      <c r="G13" s="2">
        <v>0</v>
      </c>
      <c r="H13" s="2">
        <v>0</v>
      </c>
      <c r="I13" s="2">
        <v>0</v>
      </c>
      <c r="J13" s="2" t="s">
        <v>13</v>
      </c>
      <c r="K13" s="2" t="s">
        <v>21</v>
      </c>
      <c r="L13" s="2" t="s">
        <v>37</v>
      </c>
      <c r="M13" s="2" t="s">
        <v>56</v>
      </c>
      <c r="N13" s="1" t="str">
        <f>_xlfn.CONCAT(A13, "-",VLOOKUP(E13,Value!$B$2:$C$8,2,0),"TP: ",J13,K13)</f>
        <v>11-Đứng ngoàiTP: FIXED_R2.0</v>
      </c>
      <c r="O13" s="1" t="str">
        <f>VLOOKUP(J13,Value!$B$26:$C$29,2,0)</f>
        <v>Chốt lời cố định theo tỷ lệ R (Risk-Reward).</v>
      </c>
      <c r="P13" s="1" t="str">
        <f>VLOOKUP(L13,Value!$B$34:$C$37,2,0)</f>
        <v>Tắt tính năng Trailing Stop (Bám đuôi).</v>
      </c>
    </row>
    <row r="14" spans="1:16" ht="20.149999999999999" customHeight="1" x14ac:dyDescent="0.3">
      <c r="A14" s="2">
        <v>12</v>
      </c>
      <c r="B14" s="1" t="s">
        <v>12</v>
      </c>
      <c r="C14" s="1" t="s">
        <v>14</v>
      </c>
      <c r="D14" s="1" t="s">
        <v>18</v>
      </c>
      <c r="E14" s="2">
        <v>0</v>
      </c>
      <c r="F14" s="2" t="s">
        <v>19</v>
      </c>
      <c r="G14" s="2">
        <v>0</v>
      </c>
      <c r="H14" s="2">
        <v>0</v>
      </c>
      <c r="I14" s="2">
        <v>0</v>
      </c>
      <c r="J14" s="2" t="s">
        <v>13</v>
      </c>
      <c r="K14" s="2" t="s">
        <v>21</v>
      </c>
      <c r="L14" s="2" t="s">
        <v>37</v>
      </c>
      <c r="M14" s="2" t="s">
        <v>56</v>
      </c>
      <c r="N14" s="1" t="str">
        <f>_xlfn.CONCAT(A14, "-",VLOOKUP(E14,Value!$B$2:$C$8,2,0),"TP: ",J14,K14)</f>
        <v>12-Đứng ngoàiTP: FIXED_R2.0</v>
      </c>
      <c r="O14" s="1" t="str">
        <f>VLOOKUP(J14,Value!$B$26:$C$29,2,0)</f>
        <v>Chốt lời cố định theo tỷ lệ R (Risk-Reward).</v>
      </c>
      <c r="P14" s="1" t="str">
        <f>VLOOKUP(L14,Value!$B$34:$C$37,2,0)</f>
        <v>Tắt tính năng Trailing Stop (Bám đuôi).</v>
      </c>
    </row>
    <row r="15" spans="1:16" ht="20.149999999999999" customHeight="1" x14ac:dyDescent="0.3">
      <c r="A15" s="2">
        <v>13</v>
      </c>
      <c r="B15" s="1" t="s">
        <v>12</v>
      </c>
      <c r="C15" s="1" t="s">
        <v>15</v>
      </c>
      <c r="D15" s="1" t="s">
        <v>12</v>
      </c>
      <c r="E15" s="2">
        <v>2</v>
      </c>
      <c r="F15" s="2" t="s">
        <v>19</v>
      </c>
      <c r="G15" s="2">
        <v>0</v>
      </c>
      <c r="H15" s="2">
        <v>0</v>
      </c>
      <c r="I15" s="2">
        <v>0</v>
      </c>
      <c r="J15" s="2" t="s">
        <v>13</v>
      </c>
      <c r="K15" s="2" t="s">
        <v>21</v>
      </c>
      <c r="L15" s="2" t="s">
        <v>37</v>
      </c>
      <c r="M15" s="2" t="s">
        <v>56</v>
      </c>
      <c r="N15" s="1" t="str">
        <f>_xlfn.CONCAT(A15, "-",VLOOKUP(E15,Value!$B$2:$C$8,2,0),"TP: ",J15,K15)</f>
        <v>13-Sell Limit tại mép Sell Zone M1 Major, Cắt lỗ ở đỉnh Major.TP: FIXED_R2.0</v>
      </c>
      <c r="O15" s="1" t="str">
        <f>VLOOKUP(J15,Value!$B$26:$C$29,2,0)</f>
        <v>Chốt lời cố định theo tỷ lệ R (Risk-Reward).</v>
      </c>
      <c r="P15" s="1" t="str">
        <f>VLOOKUP(L15,Value!$B$34:$C$37,2,0)</f>
        <v>Tắt tính năng Trailing Stop (Bám đuôi).</v>
      </c>
    </row>
    <row r="16" spans="1:16" ht="20.149999999999999" customHeight="1" x14ac:dyDescent="0.3">
      <c r="A16" s="2">
        <v>14</v>
      </c>
      <c r="B16" s="1" t="s">
        <v>12</v>
      </c>
      <c r="C16" s="1" t="s">
        <v>15</v>
      </c>
      <c r="D16" s="1" t="s">
        <v>14</v>
      </c>
      <c r="E16" s="2">
        <v>2</v>
      </c>
      <c r="F16" s="2" t="s">
        <v>19</v>
      </c>
      <c r="G16" s="2">
        <v>0</v>
      </c>
      <c r="H16" s="2">
        <v>0</v>
      </c>
      <c r="I16" s="2">
        <v>0</v>
      </c>
      <c r="J16" s="2" t="s">
        <v>13</v>
      </c>
      <c r="K16" s="2" t="s">
        <v>21</v>
      </c>
      <c r="L16" s="2" t="s">
        <v>37</v>
      </c>
      <c r="M16" s="2" t="s">
        <v>56</v>
      </c>
      <c r="N16" s="1" t="str">
        <f>_xlfn.CONCAT(A16, "-",VLOOKUP(E16,Value!$B$2:$C$8,2,0),"TP: ",J16,K16)</f>
        <v>14-Sell Limit tại mép Sell Zone M1 Major, Cắt lỗ ở đỉnh Major.TP: FIXED_R2.0</v>
      </c>
      <c r="O16" s="1" t="str">
        <f>VLOOKUP(J16,Value!$B$26:$C$29,2,0)</f>
        <v>Chốt lời cố định theo tỷ lệ R (Risk-Reward).</v>
      </c>
      <c r="P16" s="1" t="str">
        <f>VLOOKUP(L16,Value!$B$34:$C$37,2,0)</f>
        <v>Tắt tính năng Trailing Stop (Bám đuôi).</v>
      </c>
    </row>
    <row r="17" spans="1:16" ht="20.149999999999999" customHeight="1" x14ac:dyDescent="0.3">
      <c r="A17" s="2">
        <v>15</v>
      </c>
      <c r="B17" s="1" t="s">
        <v>12</v>
      </c>
      <c r="C17" s="1" t="s">
        <v>15</v>
      </c>
      <c r="D17" s="1" t="s">
        <v>15</v>
      </c>
      <c r="E17" s="2">
        <v>2</v>
      </c>
      <c r="F17" s="2" t="s">
        <v>19</v>
      </c>
      <c r="G17" s="2">
        <v>0</v>
      </c>
      <c r="H17" s="2">
        <v>0</v>
      </c>
      <c r="I17" s="2">
        <v>0</v>
      </c>
      <c r="J17" s="2" t="s">
        <v>13</v>
      </c>
      <c r="K17" s="2" t="s">
        <v>21</v>
      </c>
      <c r="L17" s="2" t="s">
        <v>37</v>
      </c>
      <c r="M17" s="2" t="s">
        <v>56</v>
      </c>
      <c r="N17" s="1" t="str">
        <f>_xlfn.CONCAT(A17, "-",VLOOKUP(E17,Value!$B$2:$C$8,2,0),"TP: ",J17,K17)</f>
        <v>15-Sell Limit tại mép Sell Zone M1 Major, Cắt lỗ ở đỉnh Major.TP: FIXED_R2.0</v>
      </c>
      <c r="O17" s="1" t="str">
        <f>VLOOKUP(J17,Value!$B$26:$C$29,2,0)</f>
        <v>Chốt lời cố định theo tỷ lệ R (Risk-Reward).</v>
      </c>
      <c r="P17" s="1" t="str">
        <f>VLOOKUP(L17,Value!$B$34:$C$37,2,0)</f>
        <v>Tắt tính năng Trailing Stop (Bám đuôi).</v>
      </c>
    </row>
    <row r="18" spans="1:16" ht="20.149999999999999" customHeight="1" x14ac:dyDescent="0.3">
      <c r="A18" s="2">
        <v>16</v>
      </c>
      <c r="B18" s="1" t="s">
        <v>12</v>
      </c>
      <c r="C18" s="1" t="s">
        <v>15</v>
      </c>
      <c r="D18" s="1" t="s">
        <v>16</v>
      </c>
      <c r="E18" s="2">
        <v>2</v>
      </c>
      <c r="F18" s="2" t="s">
        <v>19</v>
      </c>
      <c r="G18" s="2">
        <v>0</v>
      </c>
      <c r="H18" s="2">
        <v>0</v>
      </c>
      <c r="I18" s="2">
        <v>0</v>
      </c>
      <c r="J18" s="2" t="s">
        <v>13</v>
      </c>
      <c r="K18" s="2" t="s">
        <v>21</v>
      </c>
      <c r="L18" s="2" t="s">
        <v>37</v>
      </c>
      <c r="M18" s="2" t="s">
        <v>56</v>
      </c>
      <c r="N18" s="1" t="str">
        <f>_xlfn.CONCAT(A18, "-",VLOOKUP(E18,Value!$B$2:$C$8,2,0),"TP: ",J18,K18)</f>
        <v>16-Sell Limit tại mép Sell Zone M1 Major, Cắt lỗ ở đỉnh Major.TP: FIXED_R2.0</v>
      </c>
      <c r="O18" s="1" t="str">
        <f>VLOOKUP(J18,Value!$B$26:$C$29,2,0)</f>
        <v>Chốt lời cố định theo tỷ lệ R (Risk-Reward).</v>
      </c>
      <c r="P18" s="1" t="str">
        <f>VLOOKUP(L18,Value!$B$34:$C$37,2,0)</f>
        <v>Tắt tính năng Trailing Stop (Bám đuôi).</v>
      </c>
    </row>
    <row r="19" spans="1:16" ht="20.149999999999999" customHeight="1" x14ac:dyDescent="0.3">
      <c r="A19" s="2">
        <v>17</v>
      </c>
      <c r="B19" s="1" t="s">
        <v>12</v>
      </c>
      <c r="C19" s="1" t="s">
        <v>15</v>
      </c>
      <c r="D19" s="1" t="s">
        <v>17</v>
      </c>
      <c r="E19" s="2">
        <v>2</v>
      </c>
      <c r="F19" s="2" t="s">
        <v>19</v>
      </c>
      <c r="G19" s="2">
        <v>0</v>
      </c>
      <c r="H19" s="2">
        <v>0</v>
      </c>
      <c r="I19" s="2">
        <v>0</v>
      </c>
      <c r="J19" s="2" t="s">
        <v>13</v>
      </c>
      <c r="K19" s="2" t="s">
        <v>21</v>
      </c>
      <c r="L19" s="2" t="s">
        <v>37</v>
      </c>
      <c r="M19" s="2" t="s">
        <v>56</v>
      </c>
      <c r="N19" s="1" t="str">
        <f>_xlfn.CONCAT(A19, "-",VLOOKUP(E19,Value!$B$2:$C$8,2,0),"TP: ",J19,K19)</f>
        <v>17-Sell Limit tại mép Sell Zone M1 Major, Cắt lỗ ở đỉnh Major.TP: FIXED_R2.0</v>
      </c>
      <c r="O19" s="1" t="str">
        <f>VLOOKUP(J19,Value!$B$26:$C$29,2,0)</f>
        <v>Chốt lời cố định theo tỷ lệ R (Risk-Reward).</v>
      </c>
      <c r="P19" s="1" t="str">
        <f>VLOOKUP(L19,Value!$B$34:$C$37,2,0)</f>
        <v>Tắt tính năng Trailing Stop (Bám đuôi).</v>
      </c>
    </row>
    <row r="20" spans="1:16" ht="20.149999999999999" customHeight="1" x14ac:dyDescent="0.3">
      <c r="A20" s="2">
        <v>18</v>
      </c>
      <c r="B20" s="1" t="s">
        <v>12</v>
      </c>
      <c r="C20" s="1" t="s">
        <v>15</v>
      </c>
      <c r="D20" s="1" t="s">
        <v>18</v>
      </c>
      <c r="E20" s="2">
        <v>2</v>
      </c>
      <c r="F20" s="2" t="s">
        <v>19</v>
      </c>
      <c r="G20" s="2">
        <v>0</v>
      </c>
      <c r="H20" s="2">
        <v>0</v>
      </c>
      <c r="I20" s="2">
        <v>0</v>
      </c>
      <c r="J20" s="2" t="s">
        <v>13</v>
      </c>
      <c r="K20" s="2" t="s">
        <v>21</v>
      </c>
      <c r="L20" s="2" t="s">
        <v>37</v>
      </c>
      <c r="M20" s="2" t="s">
        <v>56</v>
      </c>
      <c r="N20" s="1" t="str">
        <f>_xlfn.CONCAT(A20, "-",VLOOKUP(E20,Value!$B$2:$C$8,2,0),"TP: ",J20,K20)</f>
        <v>18-Sell Limit tại mép Sell Zone M1 Major, Cắt lỗ ở đỉnh Major.TP: FIXED_R2.0</v>
      </c>
      <c r="O20" s="1" t="str">
        <f>VLOOKUP(J20,Value!$B$26:$C$29,2,0)</f>
        <v>Chốt lời cố định theo tỷ lệ R (Risk-Reward).</v>
      </c>
      <c r="P20" s="1" t="str">
        <f>VLOOKUP(L20,Value!$B$34:$C$37,2,0)</f>
        <v>Tắt tính năng Trailing Stop (Bám đuôi).</v>
      </c>
    </row>
    <row r="21" spans="1:16" ht="20.149999999999999" customHeight="1" x14ac:dyDescent="0.3">
      <c r="A21" s="2">
        <v>19</v>
      </c>
      <c r="B21" s="1" t="s">
        <v>12</v>
      </c>
      <c r="C21" s="1" t="s">
        <v>16</v>
      </c>
      <c r="D21" s="1" t="s">
        <v>12</v>
      </c>
      <c r="E21" s="2">
        <v>2</v>
      </c>
      <c r="F21" s="2" t="s">
        <v>19</v>
      </c>
      <c r="G21" s="2">
        <v>0</v>
      </c>
      <c r="H21" s="2">
        <v>0</v>
      </c>
      <c r="I21" s="2">
        <v>0</v>
      </c>
      <c r="J21" s="2" t="s">
        <v>13</v>
      </c>
      <c r="K21" s="2" t="s">
        <v>21</v>
      </c>
      <c r="L21" s="2" t="s">
        <v>37</v>
      </c>
      <c r="M21" s="2" t="s">
        <v>56</v>
      </c>
      <c r="N21" s="1" t="str">
        <f>_xlfn.CONCAT(A21, "-",VLOOKUP(E21,Value!$B$2:$C$8,2,0),"TP: ",J21,K21)</f>
        <v>19-Sell Limit tại mép Sell Zone M1 Major, Cắt lỗ ở đỉnh Major.TP: FIXED_R2.0</v>
      </c>
      <c r="O21" s="1" t="str">
        <f>VLOOKUP(J21,Value!$B$26:$C$29,2,0)</f>
        <v>Chốt lời cố định theo tỷ lệ R (Risk-Reward).</v>
      </c>
      <c r="P21" s="1" t="str">
        <f>VLOOKUP(L21,Value!$B$34:$C$37,2,0)</f>
        <v>Tắt tính năng Trailing Stop (Bám đuôi).</v>
      </c>
    </row>
    <row r="22" spans="1:16" ht="20.149999999999999" customHeight="1" x14ac:dyDescent="0.3">
      <c r="A22" s="2">
        <v>20</v>
      </c>
      <c r="B22" s="1" t="s">
        <v>12</v>
      </c>
      <c r="C22" s="1" t="s">
        <v>16</v>
      </c>
      <c r="D22" s="1" t="s">
        <v>14</v>
      </c>
      <c r="E22" s="2">
        <v>2</v>
      </c>
      <c r="F22" s="2" t="s">
        <v>19</v>
      </c>
      <c r="G22" s="2">
        <v>0</v>
      </c>
      <c r="H22" s="2">
        <v>0</v>
      </c>
      <c r="I22" s="2">
        <v>0</v>
      </c>
      <c r="J22" s="2" t="s">
        <v>13</v>
      </c>
      <c r="K22" s="2" t="s">
        <v>21</v>
      </c>
      <c r="L22" s="2" t="s">
        <v>37</v>
      </c>
      <c r="M22" s="2" t="s">
        <v>56</v>
      </c>
      <c r="N22" s="1" t="str">
        <f>_xlfn.CONCAT(A22, "-",VLOOKUP(E22,Value!$B$2:$C$8,2,0),"TP: ",J22,K22)</f>
        <v>20-Sell Limit tại mép Sell Zone M1 Major, Cắt lỗ ở đỉnh Major.TP: FIXED_R2.0</v>
      </c>
      <c r="O22" s="1" t="str">
        <f>VLOOKUP(J22,Value!$B$26:$C$29,2,0)</f>
        <v>Chốt lời cố định theo tỷ lệ R (Risk-Reward).</v>
      </c>
      <c r="P22" s="1" t="str">
        <f>VLOOKUP(L22,Value!$B$34:$C$37,2,0)</f>
        <v>Tắt tính năng Trailing Stop (Bám đuôi).</v>
      </c>
    </row>
    <row r="23" spans="1:16" ht="20.149999999999999" customHeight="1" x14ac:dyDescent="0.3">
      <c r="A23" s="2">
        <v>21</v>
      </c>
      <c r="B23" s="1" t="s">
        <v>12</v>
      </c>
      <c r="C23" s="1" t="s">
        <v>16</v>
      </c>
      <c r="D23" s="1" t="s">
        <v>15</v>
      </c>
      <c r="E23" s="2">
        <v>2</v>
      </c>
      <c r="F23" s="2" t="s">
        <v>19</v>
      </c>
      <c r="G23" s="2">
        <v>0</v>
      </c>
      <c r="H23" s="2">
        <v>0</v>
      </c>
      <c r="I23" s="2">
        <v>0</v>
      </c>
      <c r="J23" s="2" t="s">
        <v>13</v>
      </c>
      <c r="K23" s="2" t="s">
        <v>21</v>
      </c>
      <c r="L23" s="2" t="s">
        <v>37</v>
      </c>
      <c r="M23" s="2" t="s">
        <v>56</v>
      </c>
      <c r="N23" s="1" t="str">
        <f>_xlfn.CONCAT(A23, "-",VLOOKUP(E23,Value!$B$2:$C$8,2,0),"TP: ",J23,K23)</f>
        <v>21-Sell Limit tại mép Sell Zone M1 Major, Cắt lỗ ở đỉnh Major.TP: FIXED_R2.0</v>
      </c>
      <c r="O23" s="1" t="str">
        <f>VLOOKUP(J23,Value!$B$26:$C$29,2,0)</f>
        <v>Chốt lời cố định theo tỷ lệ R (Risk-Reward).</v>
      </c>
      <c r="P23" s="1" t="str">
        <f>VLOOKUP(L23,Value!$B$34:$C$37,2,0)</f>
        <v>Tắt tính năng Trailing Stop (Bám đuôi).</v>
      </c>
    </row>
    <row r="24" spans="1:16" ht="20.149999999999999" customHeight="1" x14ac:dyDescent="0.3">
      <c r="A24" s="2">
        <v>22</v>
      </c>
      <c r="B24" s="1" t="s">
        <v>12</v>
      </c>
      <c r="C24" s="1" t="s">
        <v>16</v>
      </c>
      <c r="D24" s="1" t="s">
        <v>16</v>
      </c>
      <c r="E24" s="2">
        <v>2</v>
      </c>
      <c r="F24" s="2" t="s">
        <v>19</v>
      </c>
      <c r="G24" s="2">
        <v>0</v>
      </c>
      <c r="H24" s="2">
        <v>0</v>
      </c>
      <c r="I24" s="2">
        <v>0</v>
      </c>
      <c r="J24" s="2" t="s">
        <v>13</v>
      </c>
      <c r="K24" s="2" t="s">
        <v>21</v>
      </c>
      <c r="L24" s="2" t="s">
        <v>37</v>
      </c>
      <c r="M24" s="2" t="s">
        <v>56</v>
      </c>
      <c r="N24" s="1" t="str">
        <f>_xlfn.CONCAT(A24, "-",VLOOKUP(E24,Value!$B$2:$C$8,2,0),"TP: ",J24,K24)</f>
        <v>22-Sell Limit tại mép Sell Zone M1 Major, Cắt lỗ ở đỉnh Major.TP: FIXED_R2.0</v>
      </c>
      <c r="O24" s="1" t="str">
        <f>VLOOKUP(J24,Value!$B$26:$C$29,2,0)</f>
        <v>Chốt lời cố định theo tỷ lệ R (Risk-Reward).</v>
      </c>
      <c r="P24" s="1" t="str">
        <f>VLOOKUP(L24,Value!$B$34:$C$37,2,0)</f>
        <v>Tắt tính năng Trailing Stop (Bám đuôi).</v>
      </c>
    </row>
    <row r="25" spans="1:16" ht="20.149999999999999" customHeight="1" x14ac:dyDescent="0.3">
      <c r="A25" s="2">
        <v>23</v>
      </c>
      <c r="B25" s="1" t="s">
        <v>12</v>
      </c>
      <c r="C25" s="1" t="s">
        <v>16</v>
      </c>
      <c r="D25" s="1" t="s">
        <v>17</v>
      </c>
      <c r="E25" s="2">
        <v>2</v>
      </c>
      <c r="F25" s="2" t="s">
        <v>19</v>
      </c>
      <c r="G25" s="2">
        <v>0</v>
      </c>
      <c r="H25" s="2">
        <v>0</v>
      </c>
      <c r="I25" s="2">
        <v>0</v>
      </c>
      <c r="J25" s="2" t="s">
        <v>13</v>
      </c>
      <c r="K25" s="2" t="s">
        <v>21</v>
      </c>
      <c r="L25" s="2" t="s">
        <v>37</v>
      </c>
      <c r="M25" s="2" t="s">
        <v>56</v>
      </c>
      <c r="N25" s="1" t="str">
        <f>_xlfn.CONCAT(A25, "-",VLOOKUP(E25,Value!$B$2:$C$8,2,0),"TP: ",J25,K25)</f>
        <v>23-Sell Limit tại mép Sell Zone M1 Major, Cắt lỗ ở đỉnh Major.TP: FIXED_R2.0</v>
      </c>
      <c r="O25" s="1" t="str">
        <f>VLOOKUP(J25,Value!$B$26:$C$29,2,0)</f>
        <v>Chốt lời cố định theo tỷ lệ R (Risk-Reward).</v>
      </c>
      <c r="P25" s="1" t="str">
        <f>VLOOKUP(L25,Value!$B$34:$C$37,2,0)</f>
        <v>Tắt tính năng Trailing Stop (Bám đuôi).</v>
      </c>
    </row>
    <row r="26" spans="1:16" ht="20.149999999999999" customHeight="1" x14ac:dyDescent="0.3">
      <c r="A26" s="2">
        <v>24</v>
      </c>
      <c r="B26" s="1" t="s">
        <v>12</v>
      </c>
      <c r="C26" s="1" t="s">
        <v>16</v>
      </c>
      <c r="D26" s="1" t="s">
        <v>18</v>
      </c>
      <c r="E26" s="2">
        <v>2</v>
      </c>
      <c r="F26" s="2" t="s">
        <v>19</v>
      </c>
      <c r="G26" s="2">
        <v>0</v>
      </c>
      <c r="H26" s="2">
        <v>0</v>
      </c>
      <c r="I26" s="2">
        <v>0</v>
      </c>
      <c r="J26" s="2" t="s">
        <v>13</v>
      </c>
      <c r="K26" s="2" t="s">
        <v>21</v>
      </c>
      <c r="L26" s="2" t="s">
        <v>37</v>
      </c>
      <c r="M26" s="2" t="s">
        <v>56</v>
      </c>
      <c r="N26" s="1" t="str">
        <f>_xlfn.CONCAT(A26, "-",VLOOKUP(E26,Value!$B$2:$C$8,2,0),"TP: ",J26,K26)</f>
        <v>24-Sell Limit tại mép Sell Zone M1 Major, Cắt lỗ ở đỉnh Major.TP: FIXED_R2.0</v>
      </c>
      <c r="O26" s="1" t="str">
        <f>VLOOKUP(J26,Value!$B$26:$C$29,2,0)</f>
        <v>Chốt lời cố định theo tỷ lệ R (Risk-Reward).</v>
      </c>
      <c r="P26" s="1" t="str">
        <f>VLOOKUP(L26,Value!$B$34:$C$37,2,0)</f>
        <v>Tắt tính năng Trailing Stop (Bám đuôi).</v>
      </c>
    </row>
    <row r="27" spans="1:16" ht="20.149999999999999" customHeight="1" x14ac:dyDescent="0.3">
      <c r="A27" s="2">
        <v>25</v>
      </c>
      <c r="B27" s="1" t="s">
        <v>12</v>
      </c>
      <c r="C27" s="1" t="s">
        <v>17</v>
      </c>
      <c r="D27" s="1" t="s">
        <v>12</v>
      </c>
      <c r="E27" s="2">
        <v>0</v>
      </c>
      <c r="F27" s="2" t="s">
        <v>19</v>
      </c>
      <c r="G27" s="2">
        <v>0</v>
      </c>
      <c r="H27" s="2">
        <v>0</v>
      </c>
      <c r="I27" s="2">
        <v>0</v>
      </c>
      <c r="J27" s="2" t="s">
        <v>13</v>
      </c>
      <c r="K27" s="2" t="s">
        <v>21</v>
      </c>
      <c r="L27" s="2" t="s">
        <v>37</v>
      </c>
      <c r="M27" s="2" t="s">
        <v>56</v>
      </c>
      <c r="N27" s="1" t="str">
        <f>_xlfn.CONCAT(A27, "-",VLOOKUP(E27,Value!$B$2:$C$8,2,0),"TP: ",J27,K27)</f>
        <v>25-Đứng ngoàiTP: FIXED_R2.0</v>
      </c>
      <c r="O27" s="1" t="str">
        <f>VLOOKUP(J27,Value!$B$26:$C$29,2,0)</f>
        <v>Chốt lời cố định theo tỷ lệ R (Risk-Reward).</v>
      </c>
      <c r="P27" s="1" t="str">
        <f>VLOOKUP(L27,Value!$B$34:$C$37,2,0)</f>
        <v>Tắt tính năng Trailing Stop (Bám đuôi).</v>
      </c>
    </row>
    <row r="28" spans="1:16" ht="20.149999999999999" customHeight="1" x14ac:dyDescent="0.3">
      <c r="A28" s="2">
        <v>26</v>
      </c>
      <c r="B28" s="1" t="s">
        <v>12</v>
      </c>
      <c r="C28" s="1" t="s">
        <v>17</v>
      </c>
      <c r="D28" s="1" t="s">
        <v>14</v>
      </c>
      <c r="E28" s="2">
        <v>0</v>
      </c>
      <c r="F28" s="2" t="s">
        <v>19</v>
      </c>
      <c r="G28" s="2">
        <v>0</v>
      </c>
      <c r="H28" s="2">
        <v>0</v>
      </c>
      <c r="I28" s="2">
        <v>0</v>
      </c>
      <c r="J28" s="2" t="s">
        <v>13</v>
      </c>
      <c r="K28" s="2" t="s">
        <v>21</v>
      </c>
      <c r="L28" s="2" t="s">
        <v>37</v>
      </c>
      <c r="M28" s="2" t="s">
        <v>56</v>
      </c>
      <c r="N28" s="1" t="str">
        <f>_xlfn.CONCAT(A28, "-",VLOOKUP(E28,Value!$B$2:$C$8,2,0),"TP: ",J28,K28)</f>
        <v>26-Đứng ngoàiTP: FIXED_R2.0</v>
      </c>
      <c r="O28" s="1" t="str">
        <f>VLOOKUP(J28,Value!$B$26:$C$29,2,0)</f>
        <v>Chốt lời cố định theo tỷ lệ R (Risk-Reward).</v>
      </c>
      <c r="P28" s="1" t="str">
        <f>VLOOKUP(L28,Value!$B$34:$C$37,2,0)</f>
        <v>Tắt tính năng Trailing Stop (Bám đuôi).</v>
      </c>
    </row>
    <row r="29" spans="1:16" ht="20.149999999999999" customHeight="1" x14ac:dyDescent="0.3">
      <c r="A29" s="2">
        <v>27</v>
      </c>
      <c r="B29" s="1" t="s">
        <v>12</v>
      </c>
      <c r="C29" s="1" t="s">
        <v>17</v>
      </c>
      <c r="D29" s="1" t="s">
        <v>15</v>
      </c>
      <c r="E29" s="2">
        <v>0</v>
      </c>
      <c r="F29" s="2" t="s">
        <v>19</v>
      </c>
      <c r="G29" s="2">
        <v>0</v>
      </c>
      <c r="H29" s="2">
        <v>0</v>
      </c>
      <c r="I29" s="2">
        <v>0</v>
      </c>
      <c r="J29" s="2" t="s">
        <v>13</v>
      </c>
      <c r="K29" s="2" t="s">
        <v>21</v>
      </c>
      <c r="L29" s="2" t="s">
        <v>37</v>
      </c>
      <c r="M29" s="2" t="s">
        <v>56</v>
      </c>
      <c r="N29" s="1" t="str">
        <f>_xlfn.CONCAT(A29, "-",VLOOKUP(E29,Value!$B$2:$C$8,2,0),"TP: ",J29,K29)</f>
        <v>27-Đứng ngoàiTP: FIXED_R2.0</v>
      </c>
      <c r="O29" s="1" t="str">
        <f>VLOOKUP(J29,Value!$B$26:$C$29,2,0)</f>
        <v>Chốt lời cố định theo tỷ lệ R (Risk-Reward).</v>
      </c>
      <c r="P29" s="1" t="str">
        <f>VLOOKUP(L29,Value!$B$34:$C$37,2,0)</f>
        <v>Tắt tính năng Trailing Stop (Bám đuôi).</v>
      </c>
    </row>
    <row r="30" spans="1:16" ht="20.149999999999999" customHeight="1" x14ac:dyDescent="0.3">
      <c r="A30" s="2">
        <v>28</v>
      </c>
      <c r="B30" s="1" t="s">
        <v>12</v>
      </c>
      <c r="C30" s="1" t="s">
        <v>17</v>
      </c>
      <c r="D30" s="1" t="s">
        <v>16</v>
      </c>
      <c r="E30" s="2">
        <v>0</v>
      </c>
      <c r="F30" s="2" t="s">
        <v>19</v>
      </c>
      <c r="G30" s="2">
        <v>0</v>
      </c>
      <c r="H30" s="2">
        <v>0</v>
      </c>
      <c r="I30" s="2">
        <v>0</v>
      </c>
      <c r="J30" s="2" t="s">
        <v>13</v>
      </c>
      <c r="K30" s="2" t="s">
        <v>21</v>
      </c>
      <c r="L30" s="2" t="s">
        <v>37</v>
      </c>
      <c r="M30" s="2" t="s">
        <v>56</v>
      </c>
      <c r="N30" s="1" t="str">
        <f>_xlfn.CONCAT(A30, "-",VLOOKUP(E30,Value!$B$2:$C$8,2,0),"TP: ",J30,K30)</f>
        <v>28-Đứng ngoàiTP: FIXED_R2.0</v>
      </c>
      <c r="O30" s="1" t="str">
        <f>VLOOKUP(J30,Value!$B$26:$C$29,2,0)</f>
        <v>Chốt lời cố định theo tỷ lệ R (Risk-Reward).</v>
      </c>
      <c r="P30" s="1" t="str">
        <f>VLOOKUP(L30,Value!$B$34:$C$37,2,0)</f>
        <v>Tắt tính năng Trailing Stop (Bám đuôi).</v>
      </c>
    </row>
    <row r="31" spans="1:16" ht="20.149999999999999" customHeight="1" x14ac:dyDescent="0.3">
      <c r="A31" s="2">
        <v>29</v>
      </c>
      <c r="B31" s="1" t="s">
        <v>12</v>
      </c>
      <c r="C31" s="1" t="s">
        <v>17</v>
      </c>
      <c r="D31" s="1" t="s">
        <v>17</v>
      </c>
      <c r="E31" s="2">
        <v>0</v>
      </c>
      <c r="F31" s="2" t="s">
        <v>19</v>
      </c>
      <c r="G31" s="2">
        <v>0</v>
      </c>
      <c r="H31" s="2">
        <v>0</v>
      </c>
      <c r="I31" s="2">
        <v>0</v>
      </c>
      <c r="J31" s="2" t="s">
        <v>13</v>
      </c>
      <c r="K31" s="2" t="s">
        <v>21</v>
      </c>
      <c r="L31" s="2" t="s">
        <v>37</v>
      </c>
      <c r="M31" s="2" t="s">
        <v>56</v>
      </c>
      <c r="N31" s="1" t="str">
        <f>_xlfn.CONCAT(A31, "-",VLOOKUP(E31,Value!$B$2:$C$8,2,0),"TP: ",J31,K31)</f>
        <v>29-Đứng ngoàiTP: FIXED_R2.0</v>
      </c>
      <c r="O31" s="1" t="str">
        <f>VLOOKUP(J31,Value!$B$26:$C$29,2,0)</f>
        <v>Chốt lời cố định theo tỷ lệ R (Risk-Reward).</v>
      </c>
      <c r="P31" s="1" t="str">
        <f>VLOOKUP(L31,Value!$B$34:$C$37,2,0)</f>
        <v>Tắt tính năng Trailing Stop (Bám đuôi).</v>
      </c>
    </row>
    <row r="32" spans="1:16" ht="20.149999999999999" customHeight="1" x14ac:dyDescent="0.3">
      <c r="A32" s="2">
        <v>30</v>
      </c>
      <c r="B32" s="1" t="s">
        <v>12</v>
      </c>
      <c r="C32" s="1" t="s">
        <v>17</v>
      </c>
      <c r="D32" s="1" t="s">
        <v>18</v>
      </c>
      <c r="E32" s="2">
        <v>0</v>
      </c>
      <c r="F32" s="2" t="s">
        <v>19</v>
      </c>
      <c r="G32" s="2">
        <v>0</v>
      </c>
      <c r="H32" s="2">
        <v>0</v>
      </c>
      <c r="I32" s="2">
        <v>0</v>
      </c>
      <c r="J32" s="2" t="s">
        <v>13</v>
      </c>
      <c r="K32" s="2" t="s">
        <v>21</v>
      </c>
      <c r="L32" s="2" t="s">
        <v>37</v>
      </c>
      <c r="M32" s="2" t="s">
        <v>56</v>
      </c>
      <c r="N32" s="1" t="str">
        <f>_xlfn.CONCAT(A32, "-",VLOOKUP(E32,Value!$B$2:$C$8,2,0),"TP: ",J32,K32)</f>
        <v>30-Đứng ngoàiTP: FIXED_R2.0</v>
      </c>
      <c r="O32" s="1" t="str">
        <f>VLOOKUP(J32,Value!$B$26:$C$29,2,0)</f>
        <v>Chốt lời cố định theo tỷ lệ R (Risk-Reward).</v>
      </c>
      <c r="P32" s="1" t="str">
        <f>VLOOKUP(L32,Value!$B$34:$C$37,2,0)</f>
        <v>Tắt tính năng Trailing Stop (Bám đuôi).</v>
      </c>
    </row>
    <row r="33" spans="1:16" ht="20.149999999999999" customHeight="1" x14ac:dyDescent="0.3">
      <c r="A33" s="2">
        <v>31</v>
      </c>
      <c r="B33" s="1" t="s">
        <v>12</v>
      </c>
      <c r="C33" s="1" t="s">
        <v>18</v>
      </c>
      <c r="D33" s="1" t="s">
        <v>12</v>
      </c>
      <c r="E33" s="2">
        <v>1</v>
      </c>
      <c r="F33" s="2" t="s">
        <v>19</v>
      </c>
      <c r="G33" s="2">
        <v>0</v>
      </c>
      <c r="H33" s="2">
        <v>0</v>
      </c>
      <c r="I33" s="2">
        <v>0</v>
      </c>
      <c r="J33" s="2" t="s">
        <v>13</v>
      </c>
      <c r="K33" s="2" t="s">
        <v>21</v>
      </c>
      <c r="L33" s="2" t="s">
        <v>37</v>
      </c>
      <c r="M33" s="2" t="s">
        <v>56</v>
      </c>
      <c r="N33" s="1" t="str">
        <f>_xlfn.CONCAT(A33, "-",VLOOKUP(E33,Value!$B$2:$C$8,2,0),"TP: ",J33,K33)</f>
        <v>31-Buy Limit tại mép Buy Zone M1 Major, Cắt lỗ ở đáy Major.TP: FIXED_R2.0</v>
      </c>
      <c r="O33" s="1" t="str">
        <f>VLOOKUP(J33,Value!$B$26:$C$29,2,0)</f>
        <v>Chốt lời cố định theo tỷ lệ R (Risk-Reward).</v>
      </c>
      <c r="P33" s="1" t="str">
        <f>VLOOKUP(L33,Value!$B$34:$C$37,2,0)</f>
        <v>Tắt tính năng Trailing Stop (Bám đuôi).</v>
      </c>
    </row>
    <row r="34" spans="1:16" ht="20.149999999999999" customHeight="1" x14ac:dyDescent="0.3">
      <c r="A34" s="2">
        <v>32</v>
      </c>
      <c r="B34" s="1" t="s">
        <v>12</v>
      </c>
      <c r="C34" s="1" t="s">
        <v>18</v>
      </c>
      <c r="D34" s="1" t="s">
        <v>14</v>
      </c>
      <c r="E34" s="2">
        <v>1</v>
      </c>
      <c r="F34" s="2" t="s">
        <v>19</v>
      </c>
      <c r="G34" s="2">
        <v>0</v>
      </c>
      <c r="H34" s="2">
        <v>0</v>
      </c>
      <c r="I34" s="2">
        <v>0</v>
      </c>
      <c r="J34" s="2" t="s">
        <v>13</v>
      </c>
      <c r="K34" s="2" t="s">
        <v>21</v>
      </c>
      <c r="L34" s="2" t="s">
        <v>37</v>
      </c>
      <c r="M34" s="2" t="s">
        <v>56</v>
      </c>
      <c r="N34" s="1" t="str">
        <f>_xlfn.CONCAT(A34, "-",VLOOKUP(E34,Value!$B$2:$C$8,2,0),"TP: ",J34,K34)</f>
        <v>32-Buy Limit tại mép Buy Zone M1 Major, Cắt lỗ ở đáy Major.TP: FIXED_R2.0</v>
      </c>
      <c r="O34" s="1" t="str">
        <f>VLOOKUP(J34,Value!$B$26:$C$29,2,0)</f>
        <v>Chốt lời cố định theo tỷ lệ R (Risk-Reward).</v>
      </c>
      <c r="P34" s="1" t="str">
        <f>VLOOKUP(L34,Value!$B$34:$C$37,2,0)</f>
        <v>Tắt tính năng Trailing Stop (Bám đuôi).</v>
      </c>
    </row>
    <row r="35" spans="1:16" ht="20.149999999999999" customHeight="1" x14ac:dyDescent="0.3">
      <c r="A35" s="2">
        <v>33</v>
      </c>
      <c r="B35" s="1" t="s">
        <v>12</v>
      </c>
      <c r="C35" s="1" t="s">
        <v>18</v>
      </c>
      <c r="D35" s="1" t="s">
        <v>15</v>
      </c>
      <c r="E35" s="2">
        <v>1</v>
      </c>
      <c r="F35" s="2" t="s">
        <v>19</v>
      </c>
      <c r="G35" s="2">
        <v>0</v>
      </c>
      <c r="H35" s="2">
        <v>0</v>
      </c>
      <c r="I35" s="2">
        <v>0</v>
      </c>
      <c r="J35" s="2" t="s">
        <v>13</v>
      </c>
      <c r="K35" s="2" t="s">
        <v>21</v>
      </c>
      <c r="L35" s="2" t="s">
        <v>37</v>
      </c>
      <c r="M35" s="2" t="s">
        <v>56</v>
      </c>
      <c r="N35" s="1" t="str">
        <f>_xlfn.CONCAT(A35, "-",VLOOKUP(E35,Value!$B$2:$C$8,2,0),"TP: ",J35,K35)</f>
        <v>33-Buy Limit tại mép Buy Zone M1 Major, Cắt lỗ ở đáy Major.TP: FIXED_R2.0</v>
      </c>
      <c r="O35" s="1" t="str">
        <f>VLOOKUP(J35,Value!$B$26:$C$29,2,0)</f>
        <v>Chốt lời cố định theo tỷ lệ R (Risk-Reward).</v>
      </c>
      <c r="P35" s="1" t="str">
        <f>VLOOKUP(L35,Value!$B$34:$C$37,2,0)</f>
        <v>Tắt tính năng Trailing Stop (Bám đuôi).</v>
      </c>
    </row>
    <row r="36" spans="1:16" ht="20.149999999999999" customHeight="1" x14ac:dyDescent="0.3">
      <c r="A36" s="2">
        <v>34</v>
      </c>
      <c r="B36" s="1" t="s">
        <v>12</v>
      </c>
      <c r="C36" s="1" t="s">
        <v>18</v>
      </c>
      <c r="D36" s="1" t="s">
        <v>16</v>
      </c>
      <c r="E36" s="2">
        <v>1</v>
      </c>
      <c r="F36" s="2" t="s">
        <v>19</v>
      </c>
      <c r="G36" s="2">
        <v>0</v>
      </c>
      <c r="H36" s="2">
        <v>0</v>
      </c>
      <c r="I36" s="2">
        <v>0</v>
      </c>
      <c r="J36" s="2" t="s">
        <v>13</v>
      </c>
      <c r="K36" s="2" t="s">
        <v>21</v>
      </c>
      <c r="L36" s="2" t="s">
        <v>37</v>
      </c>
      <c r="M36" s="2" t="s">
        <v>56</v>
      </c>
      <c r="N36" s="1" t="str">
        <f>_xlfn.CONCAT(A36, "-",VLOOKUP(E36,Value!$B$2:$C$8,2,0),"TP: ",J36,K36)</f>
        <v>34-Buy Limit tại mép Buy Zone M1 Major, Cắt lỗ ở đáy Major.TP: FIXED_R2.0</v>
      </c>
      <c r="O36" s="1" t="str">
        <f>VLOOKUP(J36,Value!$B$26:$C$29,2,0)</f>
        <v>Chốt lời cố định theo tỷ lệ R (Risk-Reward).</v>
      </c>
      <c r="P36" s="1" t="str">
        <f>VLOOKUP(L36,Value!$B$34:$C$37,2,0)</f>
        <v>Tắt tính năng Trailing Stop (Bám đuôi).</v>
      </c>
    </row>
    <row r="37" spans="1:16" ht="20.149999999999999" customHeight="1" x14ac:dyDescent="0.3">
      <c r="A37" s="2">
        <v>35</v>
      </c>
      <c r="B37" s="1" t="s">
        <v>12</v>
      </c>
      <c r="C37" s="1" t="s">
        <v>18</v>
      </c>
      <c r="D37" s="1" t="s">
        <v>17</v>
      </c>
      <c r="E37" s="2">
        <v>1</v>
      </c>
      <c r="F37" s="2" t="s">
        <v>19</v>
      </c>
      <c r="G37" s="2">
        <v>0</v>
      </c>
      <c r="H37" s="2">
        <v>0</v>
      </c>
      <c r="I37" s="2">
        <v>0</v>
      </c>
      <c r="J37" s="2" t="s">
        <v>13</v>
      </c>
      <c r="K37" s="2" t="s">
        <v>21</v>
      </c>
      <c r="L37" s="2" t="s">
        <v>37</v>
      </c>
      <c r="M37" s="2" t="s">
        <v>56</v>
      </c>
      <c r="N37" s="1" t="str">
        <f>_xlfn.CONCAT(A37, "-",VLOOKUP(E37,Value!$B$2:$C$8,2,0),"TP: ",J37,K37)</f>
        <v>35-Buy Limit tại mép Buy Zone M1 Major, Cắt lỗ ở đáy Major.TP: FIXED_R2.0</v>
      </c>
      <c r="O37" s="1" t="str">
        <f>VLOOKUP(J37,Value!$B$26:$C$29,2,0)</f>
        <v>Chốt lời cố định theo tỷ lệ R (Risk-Reward).</v>
      </c>
      <c r="P37" s="1" t="str">
        <f>VLOOKUP(L37,Value!$B$34:$C$37,2,0)</f>
        <v>Tắt tính năng Trailing Stop (Bám đuôi).</v>
      </c>
    </row>
    <row r="38" spans="1:16" ht="20.149999999999999" customHeight="1" x14ac:dyDescent="0.3">
      <c r="A38" s="2">
        <v>36</v>
      </c>
      <c r="B38" s="1" t="s">
        <v>12</v>
      </c>
      <c r="C38" s="1" t="s">
        <v>18</v>
      </c>
      <c r="D38" s="1" t="s">
        <v>18</v>
      </c>
      <c r="E38" s="2">
        <v>1</v>
      </c>
      <c r="F38" s="2" t="s">
        <v>19</v>
      </c>
      <c r="G38" s="2">
        <v>0</v>
      </c>
      <c r="H38" s="2">
        <v>0</v>
      </c>
      <c r="I38" s="2">
        <v>0</v>
      </c>
      <c r="J38" s="2" t="s">
        <v>13</v>
      </c>
      <c r="K38" s="2" t="s">
        <v>21</v>
      </c>
      <c r="L38" s="2" t="s">
        <v>37</v>
      </c>
      <c r="M38" s="2" t="s">
        <v>56</v>
      </c>
      <c r="N38" s="1" t="str">
        <f>_xlfn.CONCAT(A38, "-",VLOOKUP(E38,Value!$B$2:$C$8,2,0),"TP: ",J38,K38)</f>
        <v>36-Buy Limit tại mép Buy Zone M1 Major, Cắt lỗ ở đáy Major.TP: FIXED_R2.0</v>
      </c>
      <c r="O38" s="1" t="str">
        <f>VLOOKUP(J38,Value!$B$26:$C$29,2,0)</f>
        <v>Chốt lời cố định theo tỷ lệ R (Risk-Reward).</v>
      </c>
      <c r="P38" s="1" t="str">
        <f>VLOOKUP(L38,Value!$B$34:$C$37,2,0)</f>
        <v>Tắt tính năng Trailing Stop (Bám đuôi).</v>
      </c>
    </row>
    <row r="39" spans="1:16" ht="20.149999999999999" customHeight="1" x14ac:dyDescent="0.3">
      <c r="A39" s="2">
        <v>37</v>
      </c>
      <c r="B39" s="1" t="s">
        <v>14</v>
      </c>
      <c r="C39" s="1" t="s">
        <v>12</v>
      </c>
      <c r="D39" s="1" t="s">
        <v>12</v>
      </c>
      <c r="E39" s="2">
        <v>1</v>
      </c>
      <c r="F39" s="2" t="s">
        <v>19</v>
      </c>
      <c r="G39" s="2">
        <v>0</v>
      </c>
      <c r="H39" s="2">
        <v>0</v>
      </c>
      <c r="I39" s="2">
        <v>0</v>
      </c>
      <c r="J39" s="2" t="s">
        <v>13</v>
      </c>
      <c r="K39" s="2" t="s">
        <v>21</v>
      </c>
      <c r="L39" s="2" t="s">
        <v>37</v>
      </c>
      <c r="M39" s="2" t="s">
        <v>56</v>
      </c>
      <c r="N39" s="1" t="str">
        <f>_xlfn.CONCAT(A39, "-",VLOOKUP(E39,Value!$B$2:$C$8,2,0),"TP: ",J39,K39)</f>
        <v>37-Buy Limit tại mép Buy Zone M1 Major, Cắt lỗ ở đáy Major.TP: FIXED_R2.0</v>
      </c>
      <c r="O39" s="1" t="str">
        <f>VLOOKUP(J39,Value!$B$26:$C$29,2,0)</f>
        <v>Chốt lời cố định theo tỷ lệ R (Risk-Reward).</v>
      </c>
      <c r="P39" s="1" t="str">
        <f>VLOOKUP(L39,Value!$B$34:$C$37,2,0)</f>
        <v>Tắt tính năng Trailing Stop (Bám đuôi).</v>
      </c>
    </row>
    <row r="40" spans="1:16" ht="20.149999999999999" customHeight="1" x14ac:dyDescent="0.3">
      <c r="A40" s="2">
        <v>38</v>
      </c>
      <c r="B40" s="1" t="s">
        <v>14</v>
      </c>
      <c r="C40" s="1" t="s">
        <v>12</v>
      </c>
      <c r="D40" s="1" t="s">
        <v>14</v>
      </c>
      <c r="E40" s="2">
        <v>1</v>
      </c>
      <c r="F40" s="2" t="s">
        <v>19</v>
      </c>
      <c r="G40" s="2">
        <v>0</v>
      </c>
      <c r="H40" s="2">
        <v>0</v>
      </c>
      <c r="I40" s="2">
        <v>0</v>
      </c>
      <c r="J40" s="2" t="s">
        <v>13</v>
      </c>
      <c r="K40" s="2" t="s">
        <v>21</v>
      </c>
      <c r="L40" s="2" t="s">
        <v>37</v>
      </c>
      <c r="M40" s="2" t="s">
        <v>56</v>
      </c>
      <c r="N40" s="1" t="str">
        <f>_xlfn.CONCAT(A40, "-",VLOOKUP(E40,Value!$B$2:$C$8,2,0),"TP: ",J40,K40)</f>
        <v>38-Buy Limit tại mép Buy Zone M1 Major, Cắt lỗ ở đáy Major.TP: FIXED_R2.0</v>
      </c>
      <c r="O40" s="1" t="str">
        <f>VLOOKUP(J40,Value!$B$26:$C$29,2,0)</f>
        <v>Chốt lời cố định theo tỷ lệ R (Risk-Reward).</v>
      </c>
      <c r="P40" s="1" t="str">
        <f>VLOOKUP(L40,Value!$B$34:$C$37,2,0)</f>
        <v>Tắt tính năng Trailing Stop (Bám đuôi).</v>
      </c>
    </row>
    <row r="41" spans="1:16" ht="20.149999999999999" customHeight="1" x14ac:dyDescent="0.3">
      <c r="A41" s="2">
        <v>39</v>
      </c>
      <c r="B41" s="1" t="s">
        <v>14</v>
      </c>
      <c r="C41" s="1" t="s">
        <v>12</v>
      </c>
      <c r="D41" s="1" t="s">
        <v>15</v>
      </c>
      <c r="E41" s="2">
        <v>1</v>
      </c>
      <c r="F41" s="2" t="s">
        <v>19</v>
      </c>
      <c r="G41" s="2">
        <v>0</v>
      </c>
      <c r="H41" s="2">
        <v>0</v>
      </c>
      <c r="I41" s="2">
        <v>0</v>
      </c>
      <c r="J41" s="2" t="s">
        <v>13</v>
      </c>
      <c r="K41" s="2" t="s">
        <v>21</v>
      </c>
      <c r="L41" s="2" t="s">
        <v>37</v>
      </c>
      <c r="M41" s="2" t="s">
        <v>56</v>
      </c>
      <c r="N41" s="1" t="str">
        <f>_xlfn.CONCAT(A41, "-",VLOOKUP(E41,Value!$B$2:$C$8,2,0),"TP: ",J41,K41)</f>
        <v>39-Buy Limit tại mép Buy Zone M1 Major, Cắt lỗ ở đáy Major.TP: FIXED_R2.0</v>
      </c>
      <c r="O41" s="1" t="str">
        <f>VLOOKUP(J41,Value!$B$26:$C$29,2,0)</f>
        <v>Chốt lời cố định theo tỷ lệ R (Risk-Reward).</v>
      </c>
      <c r="P41" s="1" t="str">
        <f>VLOOKUP(L41,Value!$B$34:$C$37,2,0)</f>
        <v>Tắt tính năng Trailing Stop (Bám đuôi).</v>
      </c>
    </row>
    <row r="42" spans="1:16" ht="20.149999999999999" customHeight="1" x14ac:dyDescent="0.3">
      <c r="A42" s="2">
        <v>40</v>
      </c>
      <c r="B42" s="1" t="s">
        <v>14</v>
      </c>
      <c r="C42" s="1" t="s">
        <v>12</v>
      </c>
      <c r="D42" s="1" t="s">
        <v>16</v>
      </c>
      <c r="E42" s="2">
        <v>1</v>
      </c>
      <c r="F42" s="2" t="s">
        <v>19</v>
      </c>
      <c r="G42" s="2">
        <v>0</v>
      </c>
      <c r="H42" s="2">
        <v>0</v>
      </c>
      <c r="I42" s="2">
        <v>0</v>
      </c>
      <c r="J42" s="2" t="s">
        <v>13</v>
      </c>
      <c r="K42" s="2" t="s">
        <v>21</v>
      </c>
      <c r="L42" s="2" t="s">
        <v>37</v>
      </c>
      <c r="M42" s="2" t="s">
        <v>56</v>
      </c>
      <c r="N42" s="1" t="str">
        <f>_xlfn.CONCAT(A42, "-",VLOOKUP(E42,Value!$B$2:$C$8,2,0),"TP: ",J42,K42)</f>
        <v>40-Buy Limit tại mép Buy Zone M1 Major, Cắt lỗ ở đáy Major.TP: FIXED_R2.0</v>
      </c>
      <c r="O42" s="1" t="str">
        <f>VLOOKUP(J42,Value!$B$26:$C$29,2,0)</f>
        <v>Chốt lời cố định theo tỷ lệ R (Risk-Reward).</v>
      </c>
      <c r="P42" s="1" t="str">
        <f>VLOOKUP(L42,Value!$B$34:$C$37,2,0)</f>
        <v>Tắt tính năng Trailing Stop (Bám đuôi).</v>
      </c>
    </row>
    <row r="43" spans="1:16" ht="20.149999999999999" customHeight="1" x14ac:dyDescent="0.3">
      <c r="A43" s="2">
        <v>41</v>
      </c>
      <c r="B43" s="1" t="s">
        <v>14</v>
      </c>
      <c r="C43" s="1" t="s">
        <v>12</v>
      </c>
      <c r="D43" s="1" t="s">
        <v>17</v>
      </c>
      <c r="E43" s="2">
        <v>1</v>
      </c>
      <c r="F43" s="2" t="s">
        <v>19</v>
      </c>
      <c r="G43" s="2">
        <v>0</v>
      </c>
      <c r="H43" s="2">
        <v>0</v>
      </c>
      <c r="I43" s="2">
        <v>0</v>
      </c>
      <c r="J43" s="2" t="s">
        <v>13</v>
      </c>
      <c r="K43" s="2" t="s">
        <v>21</v>
      </c>
      <c r="L43" s="2" t="s">
        <v>37</v>
      </c>
      <c r="M43" s="2" t="s">
        <v>56</v>
      </c>
      <c r="N43" s="1" t="str">
        <f>_xlfn.CONCAT(A43, "-",VLOOKUP(E43,Value!$B$2:$C$8,2,0),"TP: ",J43,K43)</f>
        <v>41-Buy Limit tại mép Buy Zone M1 Major, Cắt lỗ ở đáy Major.TP: FIXED_R2.0</v>
      </c>
      <c r="O43" s="1" t="str">
        <f>VLOOKUP(J43,Value!$B$26:$C$29,2,0)</f>
        <v>Chốt lời cố định theo tỷ lệ R (Risk-Reward).</v>
      </c>
      <c r="P43" s="1" t="str">
        <f>VLOOKUP(L43,Value!$B$34:$C$37,2,0)</f>
        <v>Tắt tính năng Trailing Stop (Bám đuôi).</v>
      </c>
    </row>
    <row r="44" spans="1:16" ht="20.149999999999999" customHeight="1" x14ac:dyDescent="0.3">
      <c r="A44" s="2">
        <v>42</v>
      </c>
      <c r="B44" s="1" t="s">
        <v>14</v>
      </c>
      <c r="C44" s="1" t="s">
        <v>12</v>
      </c>
      <c r="D44" s="1" t="s">
        <v>18</v>
      </c>
      <c r="E44" s="2">
        <v>1</v>
      </c>
      <c r="F44" s="2" t="s">
        <v>19</v>
      </c>
      <c r="G44" s="2">
        <v>0</v>
      </c>
      <c r="H44" s="2">
        <v>0</v>
      </c>
      <c r="I44" s="2">
        <v>0</v>
      </c>
      <c r="J44" s="2" t="s">
        <v>13</v>
      </c>
      <c r="K44" s="2" t="s">
        <v>21</v>
      </c>
      <c r="L44" s="2" t="s">
        <v>37</v>
      </c>
      <c r="M44" s="2" t="s">
        <v>56</v>
      </c>
      <c r="N44" s="1" t="str">
        <f>_xlfn.CONCAT(A44, "-",VLOOKUP(E44,Value!$B$2:$C$8,2,0),"TP: ",J44,K44)</f>
        <v>42-Buy Limit tại mép Buy Zone M1 Major, Cắt lỗ ở đáy Major.TP: FIXED_R2.0</v>
      </c>
      <c r="O44" s="1" t="str">
        <f>VLOOKUP(J44,Value!$B$26:$C$29,2,0)</f>
        <v>Chốt lời cố định theo tỷ lệ R (Risk-Reward).</v>
      </c>
      <c r="P44" s="1" t="str">
        <f>VLOOKUP(L44,Value!$B$34:$C$37,2,0)</f>
        <v>Tắt tính năng Trailing Stop (Bám đuôi).</v>
      </c>
    </row>
    <row r="45" spans="1:16" ht="20.149999999999999" customHeight="1" x14ac:dyDescent="0.3">
      <c r="A45" s="2">
        <v>43</v>
      </c>
      <c r="B45" s="1" t="s">
        <v>14</v>
      </c>
      <c r="C45" s="1" t="s">
        <v>14</v>
      </c>
      <c r="D45" s="1" t="s">
        <v>12</v>
      </c>
      <c r="E45" s="2">
        <v>0</v>
      </c>
      <c r="F45" s="2" t="s">
        <v>19</v>
      </c>
      <c r="G45" s="2">
        <v>0</v>
      </c>
      <c r="H45" s="2">
        <v>0</v>
      </c>
      <c r="I45" s="2">
        <v>0</v>
      </c>
      <c r="J45" s="2" t="s">
        <v>13</v>
      </c>
      <c r="K45" s="2" t="s">
        <v>21</v>
      </c>
      <c r="L45" s="2" t="s">
        <v>37</v>
      </c>
      <c r="M45" s="2" t="s">
        <v>56</v>
      </c>
      <c r="N45" s="1" t="str">
        <f>_xlfn.CONCAT(A45, "-",VLOOKUP(E45,Value!$B$2:$C$8,2,0),"TP: ",J45,K45)</f>
        <v>43-Đứng ngoàiTP: FIXED_R2.0</v>
      </c>
      <c r="O45" s="1" t="str">
        <f>VLOOKUP(J45,Value!$B$26:$C$29,2,0)</f>
        <v>Chốt lời cố định theo tỷ lệ R (Risk-Reward).</v>
      </c>
      <c r="P45" s="1" t="str">
        <f>VLOOKUP(L45,Value!$B$34:$C$37,2,0)</f>
        <v>Tắt tính năng Trailing Stop (Bám đuôi).</v>
      </c>
    </row>
    <row r="46" spans="1:16" ht="20.149999999999999" customHeight="1" x14ac:dyDescent="0.3">
      <c r="A46" s="2">
        <v>44</v>
      </c>
      <c r="B46" s="1" t="s">
        <v>14</v>
      </c>
      <c r="C46" s="1" t="s">
        <v>14</v>
      </c>
      <c r="D46" s="1" t="s">
        <v>14</v>
      </c>
      <c r="E46" s="2">
        <v>0</v>
      </c>
      <c r="F46" s="2" t="s">
        <v>19</v>
      </c>
      <c r="G46" s="2">
        <v>0</v>
      </c>
      <c r="H46" s="2">
        <v>0</v>
      </c>
      <c r="I46" s="2">
        <v>0</v>
      </c>
      <c r="J46" s="2" t="s">
        <v>13</v>
      </c>
      <c r="K46" s="2" t="s">
        <v>21</v>
      </c>
      <c r="L46" s="2" t="s">
        <v>37</v>
      </c>
      <c r="M46" s="2" t="s">
        <v>56</v>
      </c>
      <c r="N46" s="1" t="str">
        <f>_xlfn.CONCAT(A46, "-",VLOOKUP(E46,Value!$B$2:$C$8,2,0),"TP: ",J46,K46)</f>
        <v>44-Đứng ngoàiTP: FIXED_R2.0</v>
      </c>
      <c r="O46" s="1" t="str">
        <f>VLOOKUP(J46,Value!$B$26:$C$29,2,0)</f>
        <v>Chốt lời cố định theo tỷ lệ R (Risk-Reward).</v>
      </c>
      <c r="P46" s="1" t="str">
        <f>VLOOKUP(L46,Value!$B$34:$C$37,2,0)</f>
        <v>Tắt tính năng Trailing Stop (Bám đuôi).</v>
      </c>
    </row>
    <row r="47" spans="1:16" ht="20.149999999999999" customHeight="1" x14ac:dyDescent="0.3">
      <c r="A47" s="2">
        <v>45</v>
      </c>
      <c r="B47" s="1" t="s">
        <v>14</v>
      </c>
      <c r="C47" s="1" t="s">
        <v>14</v>
      </c>
      <c r="D47" s="1" t="s">
        <v>15</v>
      </c>
      <c r="E47" s="2">
        <v>0</v>
      </c>
      <c r="F47" s="2" t="s">
        <v>19</v>
      </c>
      <c r="G47" s="2">
        <v>0</v>
      </c>
      <c r="H47" s="2">
        <v>0</v>
      </c>
      <c r="I47" s="2">
        <v>0</v>
      </c>
      <c r="J47" s="2" t="s">
        <v>13</v>
      </c>
      <c r="K47" s="2" t="s">
        <v>21</v>
      </c>
      <c r="L47" s="2" t="s">
        <v>37</v>
      </c>
      <c r="M47" s="2" t="s">
        <v>56</v>
      </c>
      <c r="N47" s="1" t="str">
        <f>_xlfn.CONCAT(A47, "-",VLOOKUP(E47,Value!$B$2:$C$8,2,0),"TP: ",J47,K47)</f>
        <v>45-Đứng ngoàiTP: FIXED_R2.0</v>
      </c>
      <c r="O47" s="1" t="str">
        <f>VLOOKUP(J47,Value!$B$26:$C$29,2,0)</f>
        <v>Chốt lời cố định theo tỷ lệ R (Risk-Reward).</v>
      </c>
      <c r="P47" s="1" t="str">
        <f>VLOOKUP(L47,Value!$B$34:$C$37,2,0)</f>
        <v>Tắt tính năng Trailing Stop (Bám đuôi).</v>
      </c>
    </row>
    <row r="48" spans="1:16" ht="20.149999999999999" customHeight="1" x14ac:dyDescent="0.3">
      <c r="A48" s="2">
        <v>46</v>
      </c>
      <c r="B48" s="1" t="s">
        <v>14</v>
      </c>
      <c r="C48" s="1" t="s">
        <v>14</v>
      </c>
      <c r="D48" s="1" t="s">
        <v>16</v>
      </c>
      <c r="E48" s="2">
        <v>0</v>
      </c>
      <c r="F48" s="2" t="s">
        <v>19</v>
      </c>
      <c r="G48" s="2">
        <v>0</v>
      </c>
      <c r="H48" s="2">
        <v>0</v>
      </c>
      <c r="I48" s="2">
        <v>0</v>
      </c>
      <c r="J48" s="2" t="s">
        <v>13</v>
      </c>
      <c r="K48" s="2" t="s">
        <v>21</v>
      </c>
      <c r="L48" s="2" t="s">
        <v>37</v>
      </c>
      <c r="M48" s="2" t="s">
        <v>56</v>
      </c>
      <c r="N48" s="1" t="str">
        <f>_xlfn.CONCAT(A48, "-",VLOOKUP(E48,Value!$B$2:$C$8,2,0),"TP: ",J48,K48)</f>
        <v>46-Đứng ngoàiTP: FIXED_R2.0</v>
      </c>
      <c r="O48" s="1" t="str">
        <f>VLOOKUP(J48,Value!$B$26:$C$29,2,0)</f>
        <v>Chốt lời cố định theo tỷ lệ R (Risk-Reward).</v>
      </c>
      <c r="P48" s="1" t="str">
        <f>VLOOKUP(L48,Value!$B$34:$C$37,2,0)</f>
        <v>Tắt tính năng Trailing Stop (Bám đuôi).</v>
      </c>
    </row>
    <row r="49" spans="1:16" ht="20.149999999999999" customHeight="1" x14ac:dyDescent="0.3">
      <c r="A49" s="2">
        <v>47</v>
      </c>
      <c r="B49" s="1" t="s">
        <v>14</v>
      </c>
      <c r="C49" s="1" t="s">
        <v>14</v>
      </c>
      <c r="D49" s="1" t="s">
        <v>17</v>
      </c>
      <c r="E49" s="2">
        <v>0</v>
      </c>
      <c r="F49" s="2" t="s">
        <v>19</v>
      </c>
      <c r="G49" s="2">
        <v>0</v>
      </c>
      <c r="H49" s="2">
        <v>0</v>
      </c>
      <c r="I49" s="2">
        <v>0</v>
      </c>
      <c r="J49" s="2" t="s">
        <v>13</v>
      </c>
      <c r="K49" s="2" t="s">
        <v>21</v>
      </c>
      <c r="L49" s="2" t="s">
        <v>37</v>
      </c>
      <c r="M49" s="2" t="s">
        <v>56</v>
      </c>
      <c r="N49" s="1" t="str">
        <f>_xlfn.CONCAT(A49, "-",VLOOKUP(E49,Value!$B$2:$C$8,2,0),"TP: ",J49,K49)</f>
        <v>47-Đứng ngoàiTP: FIXED_R2.0</v>
      </c>
      <c r="O49" s="1" t="str">
        <f>VLOOKUP(J49,Value!$B$26:$C$29,2,0)</f>
        <v>Chốt lời cố định theo tỷ lệ R (Risk-Reward).</v>
      </c>
      <c r="P49" s="1" t="str">
        <f>VLOOKUP(L49,Value!$B$34:$C$37,2,0)</f>
        <v>Tắt tính năng Trailing Stop (Bám đuôi).</v>
      </c>
    </row>
    <row r="50" spans="1:16" ht="20.149999999999999" customHeight="1" x14ac:dyDescent="0.3">
      <c r="A50" s="2">
        <v>48</v>
      </c>
      <c r="B50" s="1" t="s">
        <v>14</v>
      </c>
      <c r="C50" s="1" t="s">
        <v>14</v>
      </c>
      <c r="D50" s="1" t="s">
        <v>18</v>
      </c>
      <c r="E50" s="2">
        <v>0</v>
      </c>
      <c r="F50" s="2" t="s">
        <v>19</v>
      </c>
      <c r="G50" s="2">
        <v>0</v>
      </c>
      <c r="H50" s="2">
        <v>0</v>
      </c>
      <c r="I50" s="2">
        <v>0</v>
      </c>
      <c r="J50" s="2" t="s">
        <v>13</v>
      </c>
      <c r="K50" s="2" t="s">
        <v>21</v>
      </c>
      <c r="L50" s="2" t="s">
        <v>37</v>
      </c>
      <c r="M50" s="2" t="s">
        <v>56</v>
      </c>
      <c r="N50" s="1" t="str">
        <f>_xlfn.CONCAT(A50, "-",VLOOKUP(E50,Value!$B$2:$C$8,2,0),"TP: ",J50,K50)</f>
        <v>48-Đứng ngoàiTP: FIXED_R2.0</v>
      </c>
      <c r="O50" s="1" t="str">
        <f>VLOOKUP(J50,Value!$B$26:$C$29,2,0)</f>
        <v>Chốt lời cố định theo tỷ lệ R (Risk-Reward).</v>
      </c>
      <c r="P50" s="1" t="str">
        <f>VLOOKUP(L50,Value!$B$34:$C$37,2,0)</f>
        <v>Tắt tính năng Trailing Stop (Bám đuôi).</v>
      </c>
    </row>
    <row r="51" spans="1:16" ht="20.149999999999999" customHeight="1" x14ac:dyDescent="0.3">
      <c r="A51" s="2">
        <v>49</v>
      </c>
      <c r="B51" s="1" t="s">
        <v>14</v>
      </c>
      <c r="C51" s="1" t="s">
        <v>15</v>
      </c>
      <c r="D51" s="1" t="s">
        <v>12</v>
      </c>
      <c r="E51" s="2">
        <v>2</v>
      </c>
      <c r="F51" s="2" t="s">
        <v>19</v>
      </c>
      <c r="G51" s="2">
        <v>0</v>
      </c>
      <c r="H51" s="2">
        <v>0</v>
      </c>
      <c r="I51" s="2">
        <v>0</v>
      </c>
      <c r="J51" s="2" t="s">
        <v>13</v>
      </c>
      <c r="K51" s="2" t="s">
        <v>21</v>
      </c>
      <c r="L51" s="2" t="s">
        <v>37</v>
      </c>
      <c r="M51" s="2" t="s">
        <v>56</v>
      </c>
      <c r="N51" s="1" t="str">
        <f>_xlfn.CONCAT(A51, "-",VLOOKUP(E51,Value!$B$2:$C$8,2,0),"TP: ",J51,K51)</f>
        <v>49-Sell Limit tại mép Sell Zone M1 Major, Cắt lỗ ở đỉnh Major.TP: FIXED_R2.0</v>
      </c>
      <c r="O51" s="1" t="str">
        <f>VLOOKUP(J51,Value!$B$26:$C$29,2,0)</f>
        <v>Chốt lời cố định theo tỷ lệ R (Risk-Reward).</v>
      </c>
      <c r="P51" s="1" t="str">
        <f>VLOOKUP(L51,Value!$B$34:$C$37,2,0)</f>
        <v>Tắt tính năng Trailing Stop (Bám đuôi).</v>
      </c>
    </row>
    <row r="52" spans="1:16" ht="20.149999999999999" customHeight="1" x14ac:dyDescent="0.3">
      <c r="A52" s="2">
        <v>50</v>
      </c>
      <c r="B52" s="1" t="s">
        <v>14</v>
      </c>
      <c r="C52" s="1" t="s">
        <v>15</v>
      </c>
      <c r="D52" s="1" t="s">
        <v>14</v>
      </c>
      <c r="E52" s="2">
        <v>2</v>
      </c>
      <c r="F52" s="2" t="s">
        <v>19</v>
      </c>
      <c r="G52" s="2">
        <v>0</v>
      </c>
      <c r="H52" s="2">
        <v>0</v>
      </c>
      <c r="I52" s="2">
        <v>0</v>
      </c>
      <c r="J52" s="2" t="s">
        <v>13</v>
      </c>
      <c r="K52" s="2" t="s">
        <v>21</v>
      </c>
      <c r="L52" s="2" t="s">
        <v>37</v>
      </c>
      <c r="M52" s="2" t="s">
        <v>56</v>
      </c>
      <c r="N52" s="1" t="str">
        <f>_xlfn.CONCAT(A52, "-",VLOOKUP(E52,Value!$B$2:$C$8,2,0),"TP: ",J52,K52)</f>
        <v>50-Sell Limit tại mép Sell Zone M1 Major, Cắt lỗ ở đỉnh Major.TP: FIXED_R2.0</v>
      </c>
      <c r="O52" s="1" t="str">
        <f>VLOOKUP(J52,Value!$B$26:$C$29,2,0)</f>
        <v>Chốt lời cố định theo tỷ lệ R (Risk-Reward).</v>
      </c>
      <c r="P52" s="1" t="str">
        <f>VLOOKUP(L52,Value!$B$34:$C$37,2,0)</f>
        <v>Tắt tính năng Trailing Stop (Bám đuôi).</v>
      </c>
    </row>
    <row r="53" spans="1:16" ht="20.149999999999999" customHeight="1" x14ac:dyDescent="0.3">
      <c r="A53" s="2">
        <v>51</v>
      </c>
      <c r="B53" s="1" t="s">
        <v>14</v>
      </c>
      <c r="C53" s="1" t="s">
        <v>15</v>
      </c>
      <c r="D53" s="1" t="s">
        <v>15</v>
      </c>
      <c r="E53" s="2">
        <v>2</v>
      </c>
      <c r="F53" s="2" t="s">
        <v>19</v>
      </c>
      <c r="G53" s="2">
        <v>0</v>
      </c>
      <c r="H53" s="2">
        <v>0</v>
      </c>
      <c r="I53" s="2">
        <v>0</v>
      </c>
      <c r="J53" s="2" t="s">
        <v>13</v>
      </c>
      <c r="K53" s="2" t="s">
        <v>21</v>
      </c>
      <c r="L53" s="2" t="s">
        <v>37</v>
      </c>
      <c r="M53" s="2" t="s">
        <v>56</v>
      </c>
      <c r="N53" s="1" t="str">
        <f>_xlfn.CONCAT(A53, "-",VLOOKUP(E53,Value!$B$2:$C$8,2,0),"TP: ",J53,K53)</f>
        <v>51-Sell Limit tại mép Sell Zone M1 Major, Cắt lỗ ở đỉnh Major.TP: FIXED_R2.0</v>
      </c>
      <c r="O53" s="1" t="str">
        <f>VLOOKUP(J53,Value!$B$26:$C$29,2,0)</f>
        <v>Chốt lời cố định theo tỷ lệ R (Risk-Reward).</v>
      </c>
      <c r="P53" s="1" t="str">
        <f>VLOOKUP(L53,Value!$B$34:$C$37,2,0)</f>
        <v>Tắt tính năng Trailing Stop (Bám đuôi).</v>
      </c>
    </row>
    <row r="54" spans="1:16" ht="20.149999999999999" customHeight="1" x14ac:dyDescent="0.3">
      <c r="A54" s="2">
        <v>52</v>
      </c>
      <c r="B54" s="1" t="s">
        <v>14</v>
      </c>
      <c r="C54" s="1" t="s">
        <v>15</v>
      </c>
      <c r="D54" s="1" t="s">
        <v>16</v>
      </c>
      <c r="E54" s="2">
        <v>2</v>
      </c>
      <c r="F54" s="2" t="s">
        <v>19</v>
      </c>
      <c r="G54" s="2">
        <v>0</v>
      </c>
      <c r="H54" s="2">
        <v>0</v>
      </c>
      <c r="I54" s="2">
        <v>0</v>
      </c>
      <c r="J54" s="2" t="s">
        <v>13</v>
      </c>
      <c r="K54" s="2" t="s">
        <v>21</v>
      </c>
      <c r="L54" s="2" t="s">
        <v>37</v>
      </c>
      <c r="M54" s="2" t="s">
        <v>56</v>
      </c>
      <c r="N54" s="1" t="str">
        <f>_xlfn.CONCAT(A54, "-",VLOOKUP(E54,Value!$B$2:$C$8,2,0),"TP: ",J54,K54)</f>
        <v>52-Sell Limit tại mép Sell Zone M1 Major, Cắt lỗ ở đỉnh Major.TP: FIXED_R2.0</v>
      </c>
      <c r="O54" s="1" t="str">
        <f>VLOOKUP(J54,Value!$B$26:$C$29,2,0)</f>
        <v>Chốt lời cố định theo tỷ lệ R (Risk-Reward).</v>
      </c>
      <c r="P54" s="1" t="str">
        <f>VLOOKUP(L54,Value!$B$34:$C$37,2,0)</f>
        <v>Tắt tính năng Trailing Stop (Bám đuôi).</v>
      </c>
    </row>
    <row r="55" spans="1:16" ht="20.149999999999999" customHeight="1" x14ac:dyDescent="0.3">
      <c r="A55" s="2">
        <v>53</v>
      </c>
      <c r="B55" s="1" t="s">
        <v>14</v>
      </c>
      <c r="C55" s="1" t="s">
        <v>15</v>
      </c>
      <c r="D55" s="1" t="s">
        <v>17</v>
      </c>
      <c r="E55" s="2">
        <v>2</v>
      </c>
      <c r="F55" s="2" t="s">
        <v>19</v>
      </c>
      <c r="G55" s="2">
        <v>0</v>
      </c>
      <c r="H55" s="2">
        <v>0</v>
      </c>
      <c r="I55" s="2">
        <v>0</v>
      </c>
      <c r="J55" s="2" t="s">
        <v>13</v>
      </c>
      <c r="K55" s="2" t="s">
        <v>21</v>
      </c>
      <c r="L55" s="2" t="s">
        <v>37</v>
      </c>
      <c r="M55" s="2" t="s">
        <v>56</v>
      </c>
      <c r="N55" s="1" t="str">
        <f>_xlfn.CONCAT(A55, "-",VLOOKUP(E55,Value!$B$2:$C$8,2,0),"TP: ",J55,K55)</f>
        <v>53-Sell Limit tại mép Sell Zone M1 Major, Cắt lỗ ở đỉnh Major.TP: FIXED_R2.0</v>
      </c>
      <c r="O55" s="1" t="str">
        <f>VLOOKUP(J55,Value!$B$26:$C$29,2,0)</f>
        <v>Chốt lời cố định theo tỷ lệ R (Risk-Reward).</v>
      </c>
      <c r="P55" s="1" t="str">
        <f>VLOOKUP(L55,Value!$B$34:$C$37,2,0)</f>
        <v>Tắt tính năng Trailing Stop (Bám đuôi).</v>
      </c>
    </row>
    <row r="56" spans="1:16" ht="20.149999999999999" customHeight="1" x14ac:dyDescent="0.3">
      <c r="A56" s="2">
        <v>54</v>
      </c>
      <c r="B56" s="1" t="s">
        <v>14</v>
      </c>
      <c r="C56" s="1" t="s">
        <v>15</v>
      </c>
      <c r="D56" s="1" t="s">
        <v>18</v>
      </c>
      <c r="E56" s="2">
        <v>2</v>
      </c>
      <c r="F56" s="2" t="s">
        <v>19</v>
      </c>
      <c r="G56" s="2">
        <v>0</v>
      </c>
      <c r="H56" s="2">
        <v>0</v>
      </c>
      <c r="I56" s="2">
        <v>0</v>
      </c>
      <c r="J56" s="2" t="s">
        <v>13</v>
      </c>
      <c r="K56" s="2" t="s">
        <v>21</v>
      </c>
      <c r="L56" s="2" t="s">
        <v>37</v>
      </c>
      <c r="M56" s="2" t="s">
        <v>56</v>
      </c>
      <c r="N56" s="1" t="str">
        <f>_xlfn.CONCAT(A56, "-",VLOOKUP(E56,Value!$B$2:$C$8,2,0),"TP: ",J56,K56)</f>
        <v>54-Sell Limit tại mép Sell Zone M1 Major, Cắt lỗ ở đỉnh Major.TP: FIXED_R2.0</v>
      </c>
      <c r="O56" s="1" t="str">
        <f>VLOOKUP(J56,Value!$B$26:$C$29,2,0)</f>
        <v>Chốt lời cố định theo tỷ lệ R (Risk-Reward).</v>
      </c>
      <c r="P56" s="1" t="str">
        <f>VLOOKUP(L56,Value!$B$34:$C$37,2,0)</f>
        <v>Tắt tính năng Trailing Stop (Bám đuôi).</v>
      </c>
    </row>
    <row r="57" spans="1:16" ht="20.149999999999999" customHeight="1" x14ac:dyDescent="0.3">
      <c r="A57" s="2">
        <v>55</v>
      </c>
      <c r="B57" s="1" t="s">
        <v>14</v>
      </c>
      <c r="C57" s="1" t="s">
        <v>16</v>
      </c>
      <c r="D57" s="1" t="s">
        <v>12</v>
      </c>
      <c r="E57" s="2">
        <v>2</v>
      </c>
      <c r="F57" s="2" t="s">
        <v>19</v>
      </c>
      <c r="G57" s="2">
        <v>0</v>
      </c>
      <c r="H57" s="2">
        <v>0</v>
      </c>
      <c r="I57" s="2">
        <v>0</v>
      </c>
      <c r="J57" s="2" t="s">
        <v>13</v>
      </c>
      <c r="K57" s="2" t="s">
        <v>21</v>
      </c>
      <c r="L57" s="2" t="s">
        <v>37</v>
      </c>
      <c r="M57" s="2" t="s">
        <v>56</v>
      </c>
      <c r="N57" s="1" t="str">
        <f>_xlfn.CONCAT(A57, "-",VLOOKUP(E57,Value!$B$2:$C$8,2,0),"TP: ",J57,K57)</f>
        <v>55-Sell Limit tại mép Sell Zone M1 Major, Cắt lỗ ở đỉnh Major.TP: FIXED_R2.0</v>
      </c>
      <c r="O57" s="1" t="str">
        <f>VLOOKUP(J57,Value!$B$26:$C$29,2,0)</f>
        <v>Chốt lời cố định theo tỷ lệ R (Risk-Reward).</v>
      </c>
      <c r="P57" s="1" t="str">
        <f>VLOOKUP(L57,Value!$B$34:$C$37,2,0)</f>
        <v>Tắt tính năng Trailing Stop (Bám đuôi).</v>
      </c>
    </row>
    <row r="58" spans="1:16" ht="20.149999999999999" customHeight="1" x14ac:dyDescent="0.3">
      <c r="A58" s="2">
        <v>56</v>
      </c>
      <c r="B58" s="1" t="s">
        <v>14</v>
      </c>
      <c r="C58" s="1" t="s">
        <v>16</v>
      </c>
      <c r="D58" s="1" t="s">
        <v>14</v>
      </c>
      <c r="E58" s="2">
        <v>2</v>
      </c>
      <c r="F58" s="2" t="s">
        <v>19</v>
      </c>
      <c r="G58" s="2">
        <v>0</v>
      </c>
      <c r="H58" s="2">
        <v>0</v>
      </c>
      <c r="I58" s="2">
        <v>0</v>
      </c>
      <c r="J58" s="2" t="s">
        <v>13</v>
      </c>
      <c r="K58" s="2" t="s">
        <v>21</v>
      </c>
      <c r="L58" s="2" t="s">
        <v>37</v>
      </c>
      <c r="M58" s="2" t="s">
        <v>56</v>
      </c>
      <c r="N58" s="1" t="str">
        <f>_xlfn.CONCAT(A58, "-",VLOOKUP(E58,Value!$B$2:$C$8,2,0),"TP: ",J58,K58)</f>
        <v>56-Sell Limit tại mép Sell Zone M1 Major, Cắt lỗ ở đỉnh Major.TP: FIXED_R2.0</v>
      </c>
      <c r="O58" s="1" t="str">
        <f>VLOOKUP(J58,Value!$B$26:$C$29,2,0)</f>
        <v>Chốt lời cố định theo tỷ lệ R (Risk-Reward).</v>
      </c>
      <c r="P58" s="1" t="str">
        <f>VLOOKUP(L58,Value!$B$34:$C$37,2,0)</f>
        <v>Tắt tính năng Trailing Stop (Bám đuôi).</v>
      </c>
    </row>
    <row r="59" spans="1:16" ht="20.149999999999999" customHeight="1" x14ac:dyDescent="0.3">
      <c r="A59" s="2">
        <v>57</v>
      </c>
      <c r="B59" s="1" t="s">
        <v>14</v>
      </c>
      <c r="C59" s="1" t="s">
        <v>16</v>
      </c>
      <c r="D59" s="1" t="s">
        <v>15</v>
      </c>
      <c r="E59" s="2">
        <v>2</v>
      </c>
      <c r="F59" s="2" t="s">
        <v>19</v>
      </c>
      <c r="G59" s="2">
        <v>0</v>
      </c>
      <c r="H59" s="2">
        <v>0</v>
      </c>
      <c r="I59" s="2">
        <v>0</v>
      </c>
      <c r="J59" s="2" t="s">
        <v>13</v>
      </c>
      <c r="K59" s="2" t="s">
        <v>21</v>
      </c>
      <c r="L59" s="2" t="s">
        <v>37</v>
      </c>
      <c r="M59" s="2" t="s">
        <v>56</v>
      </c>
      <c r="N59" s="1" t="str">
        <f>_xlfn.CONCAT(A59, "-",VLOOKUP(E59,Value!$B$2:$C$8,2,0),"TP: ",J59,K59)</f>
        <v>57-Sell Limit tại mép Sell Zone M1 Major, Cắt lỗ ở đỉnh Major.TP: FIXED_R2.0</v>
      </c>
      <c r="O59" s="1" t="str">
        <f>VLOOKUP(J59,Value!$B$26:$C$29,2,0)</f>
        <v>Chốt lời cố định theo tỷ lệ R (Risk-Reward).</v>
      </c>
      <c r="P59" s="1" t="str">
        <f>VLOOKUP(L59,Value!$B$34:$C$37,2,0)</f>
        <v>Tắt tính năng Trailing Stop (Bám đuôi).</v>
      </c>
    </row>
    <row r="60" spans="1:16" ht="20.149999999999999" customHeight="1" x14ac:dyDescent="0.3">
      <c r="A60" s="2">
        <v>58</v>
      </c>
      <c r="B60" s="1" t="s">
        <v>14</v>
      </c>
      <c r="C60" s="1" t="s">
        <v>16</v>
      </c>
      <c r="D60" s="1" t="s">
        <v>16</v>
      </c>
      <c r="E60" s="2">
        <v>2</v>
      </c>
      <c r="F60" s="2" t="s">
        <v>19</v>
      </c>
      <c r="G60" s="2">
        <v>0</v>
      </c>
      <c r="H60" s="2">
        <v>0</v>
      </c>
      <c r="I60" s="2">
        <v>0</v>
      </c>
      <c r="J60" s="2" t="s">
        <v>13</v>
      </c>
      <c r="K60" s="2" t="s">
        <v>21</v>
      </c>
      <c r="L60" s="2" t="s">
        <v>37</v>
      </c>
      <c r="M60" s="2" t="s">
        <v>56</v>
      </c>
      <c r="N60" s="1" t="str">
        <f>_xlfn.CONCAT(A60, "-",VLOOKUP(E60,Value!$B$2:$C$8,2,0),"TP: ",J60,K60)</f>
        <v>58-Sell Limit tại mép Sell Zone M1 Major, Cắt lỗ ở đỉnh Major.TP: FIXED_R2.0</v>
      </c>
      <c r="O60" s="1" t="str">
        <f>VLOOKUP(J60,Value!$B$26:$C$29,2,0)</f>
        <v>Chốt lời cố định theo tỷ lệ R (Risk-Reward).</v>
      </c>
      <c r="P60" s="1" t="str">
        <f>VLOOKUP(L60,Value!$B$34:$C$37,2,0)</f>
        <v>Tắt tính năng Trailing Stop (Bám đuôi).</v>
      </c>
    </row>
    <row r="61" spans="1:16" ht="20.149999999999999" customHeight="1" x14ac:dyDescent="0.3">
      <c r="A61" s="2">
        <v>59</v>
      </c>
      <c r="B61" s="1" t="s">
        <v>14</v>
      </c>
      <c r="C61" s="1" t="s">
        <v>16</v>
      </c>
      <c r="D61" s="1" t="s">
        <v>17</v>
      </c>
      <c r="E61" s="2">
        <v>2</v>
      </c>
      <c r="F61" s="2" t="s">
        <v>19</v>
      </c>
      <c r="G61" s="2">
        <v>0</v>
      </c>
      <c r="H61" s="2">
        <v>0</v>
      </c>
      <c r="I61" s="2">
        <v>0</v>
      </c>
      <c r="J61" s="2" t="s">
        <v>13</v>
      </c>
      <c r="K61" s="2" t="s">
        <v>21</v>
      </c>
      <c r="L61" s="2" t="s">
        <v>37</v>
      </c>
      <c r="M61" s="2" t="s">
        <v>56</v>
      </c>
      <c r="N61" s="1" t="str">
        <f>_xlfn.CONCAT(A61, "-",VLOOKUP(E61,Value!$B$2:$C$8,2,0),"TP: ",J61,K61)</f>
        <v>59-Sell Limit tại mép Sell Zone M1 Major, Cắt lỗ ở đỉnh Major.TP: FIXED_R2.0</v>
      </c>
      <c r="O61" s="1" t="str">
        <f>VLOOKUP(J61,Value!$B$26:$C$29,2,0)</f>
        <v>Chốt lời cố định theo tỷ lệ R (Risk-Reward).</v>
      </c>
      <c r="P61" s="1" t="str">
        <f>VLOOKUP(L61,Value!$B$34:$C$37,2,0)</f>
        <v>Tắt tính năng Trailing Stop (Bám đuôi).</v>
      </c>
    </row>
    <row r="62" spans="1:16" ht="20.149999999999999" customHeight="1" x14ac:dyDescent="0.3">
      <c r="A62" s="2">
        <v>60</v>
      </c>
      <c r="B62" s="1" t="s">
        <v>14</v>
      </c>
      <c r="C62" s="1" t="s">
        <v>16</v>
      </c>
      <c r="D62" s="1" t="s">
        <v>18</v>
      </c>
      <c r="E62" s="2">
        <v>2</v>
      </c>
      <c r="F62" s="2" t="s">
        <v>19</v>
      </c>
      <c r="G62" s="2">
        <v>0</v>
      </c>
      <c r="H62" s="2">
        <v>0</v>
      </c>
      <c r="I62" s="2">
        <v>0</v>
      </c>
      <c r="J62" s="2" t="s">
        <v>13</v>
      </c>
      <c r="K62" s="2" t="s">
        <v>21</v>
      </c>
      <c r="L62" s="2" t="s">
        <v>37</v>
      </c>
      <c r="M62" s="2" t="s">
        <v>56</v>
      </c>
      <c r="N62" s="1" t="str">
        <f>_xlfn.CONCAT(A62, "-",VLOOKUP(E62,Value!$B$2:$C$8,2,0),"TP: ",J62,K62)</f>
        <v>60-Sell Limit tại mép Sell Zone M1 Major, Cắt lỗ ở đỉnh Major.TP: FIXED_R2.0</v>
      </c>
      <c r="O62" s="1" t="str">
        <f>VLOOKUP(J62,Value!$B$26:$C$29,2,0)</f>
        <v>Chốt lời cố định theo tỷ lệ R (Risk-Reward).</v>
      </c>
      <c r="P62" s="1" t="str">
        <f>VLOOKUP(L62,Value!$B$34:$C$37,2,0)</f>
        <v>Tắt tính năng Trailing Stop (Bám đuôi).</v>
      </c>
    </row>
    <row r="63" spans="1:16" ht="20.149999999999999" customHeight="1" x14ac:dyDescent="0.3">
      <c r="A63" s="2">
        <v>61</v>
      </c>
      <c r="B63" s="1" t="s">
        <v>14</v>
      </c>
      <c r="C63" s="1" t="s">
        <v>17</v>
      </c>
      <c r="D63" s="1" t="s">
        <v>12</v>
      </c>
      <c r="E63" s="2">
        <v>0</v>
      </c>
      <c r="F63" s="2" t="s">
        <v>19</v>
      </c>
      <c r="G63" s="2">
        <v>0</v>
      </c>
      <c r="H63" s="2">
        <v>0</v>
      </c>
      <c r="I63" s="2">
        <v>0</v>
      </c>
      <c r="J63" s="2" t="s">
        <v>13</v>
      </c>
      <c r="K63" s="2" t="s">
        <v>21</v>
      </c>
      <c r="L63" s="2" t="s">
        <v>37</v>
      </c>
      <c r="M63" s="2" t="s">
        <v>56</v>
      </c>
      <c r="N63" s="1" t="str">
        <f>_xlfn.CONCAT(A63, "-",VLOOKUP(E63,Value!$B$2:$C$8,2,0),"TP: ",J63,K63)</f>
        <v>61-Đứng ngoàiTP: FIXED_R2.0</v>
      </c>
      <c r="O63" s="1" t="str">
        <f>VLOOKUP(J63,Value!$B$26:$C$29,2,0)</f>
        <v>Chốt lời cố định theo tỷ lệ R (Risk-Reward).</v>
      </c>
      <c r="P63" s="1" t="str">
        <f>VLOOKUP(L63,Value!$B$34:$C$37,2,0)</f>
        <v>Tắt tính năng Trailing Stop (Bám đuôi).</v>
      </c>
    </row>
    <row r="64" spans="1:16" ht="20.149999999999999" customHeight="1" x14ac:dyDescent="0.3">
      <c r="A64" s="2">
        <v>62</v>
      </c>
      <c r="B64" s="1" t="s">
        <v>14</v>
      </c>
      <c r="C64" s="1" t="s">
        <v>17</v>
      </c>
      <c r="D64" s="1" t="s">
        <v>14</v>
      </c>
      <c r="E64" s="2">
        <v>0</v>
      </c>
      <c r="F64" s="2" t="s">
        <v>19</v>
      </c>
      <c r="G64" s="2">
        <v>0</v>
      </c>
      <c r="H64" s="2">
        <v>0</v>
      </c>
      <c r="I64" s="2">
        <v>0</v>
      </c>
      <c r="J64" s="2" t="s">
        <v>13</v>
      </c>
      <c r="K64" s="2" t="s">
        <v>21</v>
      </c>
      <c r="L64" s="2" t="s">
        <v>37</v>
      </c>
      <c r="M64" s="2" t="s">
        <v>56</v>
      </c>
      <c r="N64" s="1" t="str">
        <f>_xlfn.CONCAT(A64, "-",VLOOKUP(E64,Value!$B$2:$C$8,2,0),"TP: ",J64,K64)</f>
        <v>62-Đứng ngoàiTP: FIXED_R2.0</v>
      </c>
      <c r="O64" s="1" t="str">
        <f>VLOOKUP(J64,Value!$B$26:$C$29,2,0)</f>
        <v>Chốt lời cố định theo tỷ lệ R (Risk-Reward).</v>
      </c>
      <c r="P64" s="1" t="str">
        <f>VLOOKUP(L64,Value!$B$34:$C$37,2,0)</f>
        <v>Tắt tính năng Trailing Stop (Bám đuôi).</v>
      </c>
    </row>
    <row r="65" spans="1:16" ht="20.149999999999999" customHeight="1" x14ac:dyDescent="0.3">
      <c r="A65" s="2">
        <v>63</v>
      </c>
      <c r="B65" s="1" t="s">
        <v>14</v>
      </c>
      <c r="C65" s="1" t="s">
        <v>17</v>
      </c>
      <c r="D65" s="1" t="s">
        <v>15</v>
      </c>
      <c r="E65" s="2">
        <v>0</v>
      </c>
      <c r="F65" s="2" t="s">
        <v>19</v>
      </c>
      <c r="G65" s="2">
        <v>0</v>
      </c>
      <c r="H65" s="2">
        <v>0</v>
      </c>
      <c r="I65" s="2">
        <v>0</v>
      </c>
      <c r="J65" s="2" t="s">
        <v>13</v>
      </c>
      <c r="K65" s="2" t="s">
        <v>21</v>
      </c>
      <c r="L65" s="2" t="s">
        <v>37</v>
      </c>
      <c r="M65" s="2" t="s">
        <v>56</v>
      </c>
      <c r="N65" s="1" t="str">
        <f>_xlfn.CONCAT(A65, "-",VLOOKUP(E65,Value!$B$2:$C$8,2,0),"TP: ",J65,K65)</f>
        <v>63-Đứng ngoàiTP: FIXED_R2.0</v>
      </c>
      <c r="O65" s="1" t="str">
        <f>VLOOKUP(J65,Value!$B$26:$C$29,2,0)</f>
        <v>Chốt lời cố định theo tỷ lệ R (Risk-Reward).</v>
      </c>
      <c r="P65" s="1" t="str">
        <f>VLOOKUP(L65,Value!$B$34:$C$37,2,0)</f>
        <v>Tắt tính năng Trailing Stop (Bám đuôi).</v>
      </c>
    </row>
    <row r="66" spans="1:16" ht="20.149999999999999" customHeight="1" x14ac:dyDescent="0.3">
      <c r="A66" s="2">
        <v>64</v>
      </c>
      <c r="B66" s="1" t="s">
        <v>14</v>
      </c>
      <c r="C66" s="1" t="s">
        <v>17</v>
      </c>
      <c r="D66" s="1" t="s">
        <v>16</v>
      </c>
      <c r="E66" s="2">
        <v>0</v>
      </c>
      <c r="F66" s="2" t="s">
        <v>19</v>
      </c>
      <c r="G66" s="2">
        <v>0</v>
      </c>
      <c r="H66" s="2">
        <v>0</v>
      </c>
      <c r="I66" s="2">
        <v>0</v>
      </c>
      <c r="J66" s="2" t="s">
        <v>13</v>
      </c>
      <c r="K66" s="2" t="s">
        <v>21</v>
      </c>
      <c r="L66" s="2" t="s">
        <v>37</v>
      </c>
      <c r="M66" s="2" t="s">
        <v>56</v>
      </c>
      <c r="N66" s="1" t="str">
        <f>_xlfn.CONCAT(A66, "-",VLOOKUP(E66,Value!$B$2:$C$8,2,0),"TP: ",J66,K66)</f>
        <v>64-Đứng ngoàiTP: FIXED_R2.0</v>
      </c>
      <c r="O66" s="1" t="str">
        <f>VLOOKUP(J66,Value!$B$26:$C$29,2,0)</f>
        <v>Chốt lời cố định theo tỷ lệ R (Risk-Reward).</v>
      </c>
      <c r="P66" s="1" t="str">
        <f>VLOOKUP(L66,Value!$B$34:$C$37,2,0)</f>
        <v>Tắt tính năng Trailing Stop (Bám đuôi).</v>
      </c>
    </row>
    <row r="67" spans="1:16" ht="20.149999999999999" customHeight="1" x14ac:dyDescent="0.3">
      <c r="A67" s="2">
        <v>65</v>
      </c>
      <c r="B67" s="1" t="s">
        <v>14</v>
      </c>
      <c r="C67" s="1" t="s">
        <v>17</v>
      </c>
      <c r="D67" s="1" t="s">
        <v>17</v>
      </c>
      <c r="E67" s="2">
        <v>0</v>
      </c>
      <c r="F67" s="2" t="s">
        <v>19</v>
      </c>
      <c r="G67" s="2">
        <v>0</v>
      </c>
      <c r="H67" s="2">
        <v>0</v>
      </c>
      <c r="I67" s="2">
        <v>0</v>
      </c>
      <c r="J67" s="2" t="s">
        <v>13</v>
      </c>
      <c r="K67" s="2" t="s">
        <v>21</v>
      </c>
      <c r="L67" s="2" t="s">
        <v>37</v>
      </c>
      <c r="M67" s="2" t="s">
        <v>56</v>
      </c>
      <c r="N67" s="1" t="str">
        <f>_xlfn.CONCAT(A67, "-",VLOOKUP(E67,Value!$B$2:$C$8,2,0),"TP: ",J67,K67)</f>
        <v>65-Đứng ngoàiTP: FIXED_R2.0</v>
      </c>
      <c r="O67" s="1" t="str">
        <f>VLOOKUP(J67,Value!$B$26:$C$29,2,0)</f>
        <v>Chốt lời cố định theo tỷ lệ R (Risk-Reward).</v>
      </c>
      <c r="P67" s="1" t="str">
        <f>VLOOKUP(L67,Value!$B$34:$C$37,2,0)</f>
        <v>Tắt tính năng Trailing Stop (Bám đuôi).</v>
      </c>
    </row>
    <row r="68" spans="1:16" ht="20.149999999999999" customHeight="1" x14ac:dyDescent="0.3">
      <c r="A68" s="2">
        <v>66</v>
      </c>
      <c r="B68" s="1" t="s">
        <v>14</v>
      </c>
      <c r="C68" s="1" t="s">
        <v>17</v>
      </c>
      <c r="D68" s="1" t="s">
        <v>18</v>
      </c>
      <c r="E68" s="2">
        <v>0</v>
      </c>
      <c r="F68" s="2" t="s">
        <v>19</v>
      </c>
      <c r="G68" s="2">
        <v>0</v>
      </c>
      <c r="H68" s="2">
        <v>0</v>
      </c>
      <c r="I68" s="2">
        <v>0</v>
      </c>
      <c r="J68" s="2" t="s">
        <v>13</v>
      </c>
      <c r="K68" s="2" t="s">
        <v>21</v>
      </c>
      <c r="L68" s="2" t="s">
        <v>37</v>
      </c>
      <c r="M68" s="2" t="s">
        <v>56</v>
      </c>
      <c r="N68" s="1" t="str">
        <f>_xlfn.CONCAT(A68, "-",VLOOKUP(E68,Value!$B$2:$C$8,2,0),"TP: ",J68,K68)</f>
        <v>66-Đứng ngoàiTP: FIXED_R2.0</v>
      </c>
      <c r="O68" s="1" t="str">
        <f>VLOOKUP(J68,Value!$B$26:$C$29,2,0)</f>
        <v>Chốt lời cố định theo tỷ lệ R (Risk-Reward).</v>
      </c>
      <c r="P68" s="1" t="str">
        <f>VLOOKUP(L68,Value!$B$34:$C$37,2,0)</f>
        <v>Tắt tính năng Trailing Stop (Bám đuôi).</v>
      </c>
    </row>
    <row r="69" spans="1:16" ht="20.149999999999999" customHeight="1" x14ac:dyDescent="0.3">
      <c r="A69" s="2">
        <v>67</v>
      </c>
      <c r="B69" s="1" t="s">
        <v>14</v>
      </c>
      <c r="C69" s="1" t="s">
        <v>18</v>
      </c>
      <c r="D69" s="1" t="s">
        <v>12</v>
      </c>
      <c r="E69" s="2">
        <v>1</v>
      </c>
      <c r="F69" s="2" t="s">
        <v>19</v>
      </c>
      <c r="G69" s="2">
        <v>0</v>
      </c>
      <c r="H69" s="2">
        <v>0</v>
      </c>
      <c r="I69" s="2">
        <v>0</v>
      </c>
      <c r="J69" s="2" t="s">
        <v>13</v>
      </c>
      <c r="K69" s="2" t="s">
        <v>21</v>
      </c>
      <c r="L69" s="2" t="s">
        <v>37</v>
      </c>
      <c r="M69" s="2" t="s">
        <v>56</v>
      </c>
      <c r="N69" s="1" t="str">
        <f>_xlfn.CONCAT(A69, "-",VLOOKUP(E69,Value!$B$2:$C$8,2,0),"TP: ",J69,K69)</f>
        <v>67-Buy Limit tại mép Buy Zone M1 Major, Cắt lỗ ở đáy Major.TP: FIXED_R2.0</v>
      </c>
      <c r="O69" s="1" t="str">
        <f>VLOOKUP(J69,Value!$B$26:$C$29,2,0)</f>
        <v>Chốt lời cố định theo tỷ lệ R (Risk-Reward).</v>
      </c>
      <c r="P69" s="1" t="str">
        <f>VLOOKUP(L69,Value!$B$34:$C$37,2,0)</f>
        <v>Tắt tính năng Trailing Stop (Bám đuôi).</v>
      </c>
    </row>
    <row r="70" spans="1:16" ht="20.149999999999999" customHeight="1" x14ac:dyDescent="0.3">
      <c r="A70" s="2">
        <v>68</v>
      </c>
      <c r="B70" s="1" t="s">
        <v>14</v>
      </c>
      <c r="C70" s="1" t="s">
        <v>18</v>
      </c>
      <c r="D70" s="1" t="s">
        <v>14</v>
      </c>
      <c r="E70" s="2">
        <v>1</v>
      </c>
      <c r="F70" s="2" t="s">
        <v>19</v>
      </c>
      <c r="G70" s="2">
        <v>0</v>
      </c>
      <c r="H70" s="2">
        <v>0</v>
      </c>
      <c r="I70" s="2">
        <v>0</v>
      </c>
      <c r="J70" s="2" t="s">
        <v>13</v>
      </c>
      <c r="K70" s="2" t="s">
        <v>21</v>
      </c>
      <c r="L70" s="2" t="s">
        <v>37</v>
      </c>
      <c r="M70" s="2" t="s">
        <v>56</v>
      </c>
      <c r="N70" s="1" t="str">
        <f>_xlfn.CONCAT(A70, "-",VLOOKUP(E70,Value!$B$2:$C$8,2,0),"TP: ",J70,K70)</f>
        <v>68-Buy Limit tại mép Buy Zone M1 Major, Cắt lỗ ở đáy Major.TP: FIXED_R2.0</v>
      </c>
      <c r="O70" s="1" t="str">
        <f>VLOOKUP(J70,Value!$B$26:$C$29,2,0)</f>
        <v>Chốt lời cố định theo tỷ lệ R (Risk-Reward).</v>
      </c>
      <c r="P70" s="1" t="str">
        <f>VLOOKUP(L70,Value!$B$34:$C$37,2,0)</f>
        <v>Tắt tính năng Trailing Stop (Bám đuôi).</v>
      </c>
    </row>
    <row r="71" spans="1:16" ht="20.149999999999999" customHeight="1" x14ac:dyDescent="0.3">
      <c r="A71" s="2">
        <v>69</v>
      </c>
      <c r="B71" s="1" t="s">
        <v>14</v>
      </c>
      <c r="C71" s="1" t="s">
        <v>18</v>
      </c>
      <c r="D71" s="1" t="s">
        <v>15</v>
      </c>
      <c r="E71" s="2">
        <v>1</v>
      </c>
      <c r="F71" s="2" t="s">
        <v>19</v>
      </c>
      <c r="G71" s="2">
        <v>0</v>
      </c>
      <c r="H71" s="2">
        <v>0</v>
      </c>
      <c r="I71" s="2">
        <v>0</v>
      </c>
      <c r="J71" s="2" t="s">
        <v>13</v>
      </c>
      <c r="K71" s="2" t="s">
        <v>21</v>
      </c>
      <c r="L71" s="2" t="s">
        <v>37</v>
      </c>
      <c r="M71" s="2" t="s">
        <v>56</v>
      </c>
      <c r="N71" s="1" t="str">
        <f>_xlfn.CONCAT(A71, "-",VLOOKUP(E71,Value!$B$2:$C$8,2,0),"TP: ",J71,K71)</f>
        <v>69-Buy Limit tại mép Buy Zone M1 Major, Cắt lỗ ở đáy Major.TP: FIXED_R2.0</v>
      </c>
      <c r="O71" s="1" t="str">
        <f>VLOOKUP(J71,Value!$B$26:$C$29,2,0)</f>
        <v>Chốt lời cố định theo tỷ lệ R (Risk-Reward).</v>
      </c>
      <c r="P71" s="1" t="str">
        <f>VLOOKUP(L71,Value!$B$34:$C$37,2,0)</f>
        <v>Tắt tính năng Trailing Stop (Bám đuôi).</v>
      </c>
    </row>
    <row r="72" spans="1:16" ht="20.149999999999999" customHeight="1" x14ac:dyDescent="0.3">
      <c r="A72" s="2">
        <v>70</v>
      </c>
      <c r="B72" s="1" t="s">
        <v>14</v>
      </c>
      <c r="C72" s="1" t="s">
        <v>18</v>
      </c>
      <c r="D72" s="1" t="s">
        <v>16</v>
      </c>
      <c r="E72" s="2">
        <v>1</v>
      </c>
      <c r="F72" s="2" t="s">
        <v>19</v>
      </c>
      <c r="G72" s="2">
        <v>0</v>
      </c>
      <c r="H72" s="2">
        <v>0</v>
      </c>
      <c r="I72" s="2">
        <v>0</v>
      </c>
      <c r="J72" s="2" t="s">
        <v>13</v>
      </c>
      <c r="K72" s="2" t="s">
        <v>21</v>
      </c>
      <c r="L72" s="2" t="s">
        <v>37</v>
      </c>
      <c r="M72" s="2" t="s">
        <v>56</v>
      </c>
      <c r="N72" s="1" t="str">
        <f>_xlfn.CONCAT(A72, "-",VLOOKUP(E72,Value!$B$2:$C$8,2,0),"TP: ",J72,K72)</f>
        <v>70-Buy Limit tại mép Buy Zone M1 Major, Cắt lỗ ở đáy Major.TP: FIXED_R2.0</v>
      </c>
      <c r="O72" s="1" t="str">
        <f>VLOOKUP(J72,Value!$B$26:$C$29,2,0)</f>
        <v>Chốt lời cố định theo tỷ lệ R (Risk-Reward).</v>
      </c>
      <c r="P72" s="1" t="str">
        <f>VLOOKUP(L72,Value!$B$34:$C$37,2,0)</f>
        <v>Tắt tính năng Trailing Stop (Bám đuôi).</v>
      </c>
    </row>
    <row r="73" spans="1:16" ht="20.149999999999999" customHeight="1" x14ac:dyDescent="0.3">
      <c r="A73" s="2">
        <v>71</v>
      </c>
      <c r="B73" s="1" t="s">
        <v>14</v>
      </c>
      <c r="C73" s="1" t="s">
        <v>18</v>
      </c>
      <c r="D73" s="1" t="s">
        <v>17</v>
      </c>
      <c r="E73" s="2">
        <v>1</v>
      </c>
      <c r="F73" s="2" t="s">
        <v>19</v>
      </c>
      <c r="G73" s="2">
        <v>0</v>
      </c>
      <c r="H73" s="2">
        <v>0</v>
      </c>
      <c r="I73" s="2">
        <v>0</v>
      </c>
      <c r="J73" s="2" t="s">
        <v>13</v>
      </c>
      <c r="K73" s="2" t="s">
        <v>21</v>
      </c>
      <c r="L73" s="2" t="s">
        <v>37</v>
      </c>
      <c r="M73" s="2" t="s">
        <v>56</v>
      </c>
      <c r="N73" s="1" t="str">
        <f>_xlfn.CONCAT(A73, "-",VLOOKUP(E73,Value!$B$2:$C$8,2,0),"TP: ",J73,K73)</f>
        <v>71-Buy Limit tại mép Buy Zone M1 Major, Cắt lỗ ở đáy Major.TP: FIXED_R2.0</v>
      </c>
      <c r="O73" s="1" t="str">
        <f>VLOOKUP(J73,Value!$B$26:$C$29,2,0)</f>
        <v>Chốt lời cố định theo tỷ lệ R (Risk-Reward).</v>
      </c>
      <c r="P73" s="1" t="str">
        <f>VLOOKUP(L73,Value!$B$34:$C$37,2,0)</f>
        <v>Tắt tính năng Trailing Stop (Bám đuôi).</v>
      </c>
    </row>
    <row r="74" spans="1:16" ht="20.149999999999999" customHeight="1" x14ac:dyDescent="0.3">
      <c r="A74" s="2">
        <v>72</v>
      </c>
      <c r="B74" s="1" t="s">
        <v>14</v>
      </c>
      <c r="C74" s="1" t="s">
        <v>18</v>
      </c>
      <c r="D74" s="1" t="s">
        <v>18</v>
      </c>
      <c r="E74" s="2">
        <v>1</v>
      </c>
      <c r="F74" s="2" t="s">
        <v>19</v>
      </c>
      <c r="G74" s="2">
        <v>0</v>
      </c>
      <c r="H74" s="2">
        <v>0</v>
      </c>
      <c r="I74" s="2">
        <v>0</v>
      </c>
      <c r="J74" s="2" t="s">
        <v>13</v>
      </c>
      <c r="K74" s="2" t="s">
        <v>21</v>
      </c>
      <c r="L74" s="2" t="s">
        <v>37</v>
      </c>
      <c r="M74" s="2" t="s">
        <v>56</v>
      </c>
      <c r="N74" s="1" t="str">
        <f>_xlfn.CONCAT(A74, "-",VLOOKUP(E74,Value!$B$2:$C$8,2,0),"TP: ",J74,K74)</f>
        <v>72-Buy Limit tại mép Buy Zone M1 Major, Cắt lỗ ở đáy Major.TP: FIXED_R2.0</v>
      </c>
      <c r="O74" s="1" t="str">
        <f>VLOOKUP(J74,Value!$B$26:$C$29,2,0)</f>
        <v>Chốt lời cố định theo tỷ lệ R (Risk-Reward).</v>
      </c>
      <c r="P74" s="1" t="str">
        <f>VLOOKUP(L74,Value!$B$34:$C$37,2,0)</f>
        <v>Tắt tính năng Trailing Stop (Bám đuôi).</v>
      </c>
    </row>
    <row r="75" spans="1:16" ht="20.149999999999999" customHeight="1" x14ac:dyDescent="0.3">
      <c r="A75" s="2">
        <v>73</v>
      </c>
      <c r="B75" s="1" t="s">
        <v>15</v>
      </c>
      <c r="C75" s="1" t="s">
        <v>12</v>
      </c>
      <c r="D75" s="1" t="s">
        <v>12</v>
      </c>
      <c r="E75" s="2">
        <v>1</v>
      </c>
      <c r="F75" s="2" t="s">
        <v>19</v>
      </c>
      <c r="G75" s="2">
        <v>0</v>
      </c>
      <c r="H75" s="2">
        <v>0</v>
      </c>
      <c r="I75" s="2">
        <v>0</v>
      </c>
      <c r="J75" s="2" t="s">
        <v>13</v>
      </c>
      <c r="K75" s="2" t="s">
        <v>21</v>
      </c>
      <c r="L75" s="2" t="s">
        <v>37</v>
      </c>
      <c r="M75" s="2" t="s">
        <v>56</v>
      </c>
      <c r="N75" s="1" t="str">
        <f>_xlfn.CONCAT(A75, "-",VLOOKUP(E75,Value!$B$2:$C$8,2,0),"TP: ",J75,K75)</f>
        <v>73-Buy Limit tại mép Buy Zone M1 Major, Cắt lỗ ở đáy Major.TP: FIXED_R2.0</v>
      </c>
      <c r="O75" s="1" t="str">
        <f>VLOOKUP(J75,Value!$B$26:$C$29,2,0)</f>
        <v>Chốt lời cố định theo tỷ lệ R (Risk-Reward).</v>
      </c>
      <c r="P75" s="1" t="str">
        <f>VLOOKUP(L75,Value!$B$34:$C$37,2,0)</f>
        <v>Tắt tính năng Trailing Stop (Bám đuôi).</v>
      </c>
    </row>
    <row r="76" spans="1:16" ht="20.149999999999999" customHeight="1" x14ac:dyDescent="0.3">
      <c r="A76" s="2">
        <v>74</v>
      </c>
      <c r="B76" s="1" t="s">
        <v>15</v>
      </c>
      <c r="C76" s="1" t="s">
        <v>12</v>
      </c>
      <c r="D76" s="1" t="s">
        <v>14</v>
      </c>
      <c r="E76" s="2">
        <v>1</v>
      </c>
      <c r="F76" s="2" t="s">
        <v>19</v>
      </c>
      <c r="G76" s="2">
        <v>0</v>
      </c>
      <c r="H76" s="2">
        <v>0</v>
      </c>
      <c r="I76" s="2">
        <v>0</v>
      </c>
      <c r="J76" s="2" t="s">
        <v>13</v>
      </c>
      <c r="K76" s="2" t="s">
        <v>21</v>
      </c>
      <c r="L76" s="2" t="s">
        <v>37</v>
      </c>
      <c r="M76" s="2" t="s">
        <v>56</v>
      </c>
      <c r="N76" s="1" t="str">
        <f>_xlfn.CONCAT(A76, "-",VLOOKUP(E76,Value!$B$2:$C$8,2,0),"TP: ",J76,K76)</f>
        <v>74-Buy Limit tại mép Buy Zone M1 Major, Cắt lỗ ở đáy Major.TP: FIXED_R2.0</v>
      </c>
      <c r="O76" s="1" t="str">
        <f>VLOOKUP(J76,Value!$B$26:$C$29,2,0)</f>
        <v>Chốt lời cố định theo tỷ lệ R (Risk-Reward).</v>
      </c>
      <c r="P76" s="1" t="str">
        <f>VLOOKUP(L76,Value!$B$34:$C$37,2,0)</f>
        <v>Tắt tính năng Trailing Stop (Bám đuôi).</v>
      </c>
    </row>
    <row r="77" spans="1:16" ht="20.149999999999999" customHeight="1" x14ac:dyDescent="0.3">
      <c r="A77" s="2">
        <v>75</v>
      </c>
      <c r="B77" s="1" t="s">
        <v>15</v>
      </c>
      <c r="C77" s="1" t="s">
        <v>12</v>
      </c>
      <c r="D77" s="1" t="s">
        <v>15</v>
      </c>
      <c r="E77" s="2">
        <v>1</v>
      </c>
      <c r="F77" s="2" t="s">
        <v>19</v>
      </c>
      <c r="G77" s="2">
        <v>0</v>
      </c>
      <c r="H77" s="2">
        <v>0</v>
      </c>
      <c r="I77" s="2">
        <v>0</v>
      </c>
      <c r="J77" s="2" t="s">
        <v>13</v>
      </c>
      <c r="K77" s="2" t="s">
        <v>21</v>
      </c>
      <c r="L77" s="2" t="s">
        <v>37</v>
      </c>
      <c r="M77" s="2" t="s">
        <v>56</v>
      </c>
      <c r="N77" s="1" t="str">
        <f>_xlfn.CONCAT(A77, "-",VLOOKUP(E77,Value!$B$2:$C$8,2,0),"TP: ",J77,K77)</f>
        <v>75-Buy Limit tại mép Buy Zone M1 Major, Cắt lỗ ở đáy Major.TP: FIXED_R2.0</v>
      </c>
      <c r="O77" s="1" t="str">
        <f>VLOOKUP(J77,Value!$B$26:$C$29,2,0)</f>
        <v>Chốt lời cố định theo tỷ lệ R (Risk-Reward).</v>
      </c>
      <c r="P77" s="1" t="str">
        <f>VLOOKUP(L77,Value!$B$34:$C$37,2,0)</f>
        <v>Tắt tính năng Trailing Stop (Bám đuôi).</v>
      </c>
    </row>
    <row r="78" spans="1:16" ht="20.149999999999999" customHeight="1" x14ac:dyDescent="0.3">
      <c r="A78" s="2">
        <v>76</v>
      </c>
      <c r="B78" s="1" t="s">
        <v>15</v>
      </c>
      <c r="C78" s="1" t="s">
        <v>12</v>
      </c>
      <c r="D78" s="1" t="s">
        <v>16</v>
      </c>
      <c r="E78" s="2">
        <v>1</v>
      </c>
      <c r="F78" s="2" t="s">
        <v>19</v>
      </c>
      <c r="G78" s="2">
        <v>0</v>
      </c>
      <c r="H78" s="2">
        <v>0</v>
      </c>
      <c r="I78" s="2">
        <v>0</v>
      </c>
      <c r="J78" s="2" t="s">
        <v>13</v>
      </c>
      <c r="K78" s="2" t="s">
        <v>21</v>
      </c>
      <c r="L78" s="2" t="s">
        <v>37</v>
      </c>
      <c r="M78" s="2" t="s">
        <v>56</v>
      </c>
      <c r="N78" s="1" t="str">
        <f>_xlfn.CONCAT(A78, "-",VLOOKUP(E78,Value!$B$2:$C$8,2,0),"TP: ",J78,K78)</f>
        <v>76-Buy Limit tại mép Buy Zone M1 Major, Cắt lỗ ở đáy Major.TP: FIXED_R2.0</v>
      </c>
      <c r="O78" s="1" t="str">
        <f>VLOOKUP(J78,Value!$B$26:$C$29,2,0)</f>
        <v>Chốt lời cố định theo tỷ lệ R (Risk-Reward).</v>
      </c>
      <c r="P78" s="1" t="str">
        <f>VLOOKUP(L78,Value!$B$34:$C$37,2,0)</f>
        <v>Tắt tính năng Trailing Stop (Bám đuôi).</v>
      </c>
    </row>
    <row r="79" spans="1:16" ht="20.149999999999999" customHeight="1" x14ac:dyDescent="0.3">
      <c r="A79" s="2">
        <v>77</v>
      </c>
      <c r="B79" s="1" t="s">
        <v>15</v>
      </c>
      <c r="C79" s="1" t="s">
        <v>12</v>
      </c>
      <c r="D79" s="1" t="s">
        <v>17</v>
      </c>
      <c r="E79" s="2">
        <v>1</v>
      </c>
      <c r="F79" s="2" t="s">
        <v>19</v>
      </c>
      <c r="G79" s="2">
        <v>0</v>
      </c>
      <c r="H79" s="2">
        <v>0</v>
      </c>
      <c r="I79" s="2">
        <v>0</v>
      </c>
      <c r="J79" s="2" t="s">
        <v>13</v>
      </c>
      <c r="K79" s="2" t="s">
        <v>21</v>
      </c>
      <c r="L79" s="2" t="s">
        <v>37</v>
      </c>
      <c r="M79" s="2" t="s">
        <v>56</v>
      </c>
      <c r="N79" s="1" t="str">
        <f>_xlfn.CONCAT(A79, "-",VLOOKUP(E79,Value!$B$2:$C$8,2,0),"TP: ",J79,K79)</f>
        <v>77-Buy Limit tại mép Buy Zone M1 Major, Cắt lỗ ở đáy Major.TP: FIXED_R2.0</v>
      </c>
      <c r="O79" s="1" t="str">
        <f>VLOOKUP(J79,Value!$B$26:$C$29,2,0)</f>
        <v>Chốt lời cố định theo tỷ lệ R (Risk-Reward).</v>
      </c>
      <c r="P79" s="1" t="str">
        <f>VLOOKUP(L79,Value!$B$34:$C$37,2,0)</f>
        <v>Tắt tính năng Trailing Stop (Bám đuôi).</v>
      </c>
    </row>
    <row r="80" spans="1:16" ht="20.149999999999999" customHeight="1" x14ac:dyDescent="0.3">
      <c r="A80" s="2">
        <v>78</v>
      </c>
      <c r="B80" s="1" t="s">
        <v>15</v>
      </c>
      <c r="C80" s="1" t="s">
        <v>12</v>
      </c>
      <c r="D80" s="1" t="s">
        <v>18</v>
      </c>
      <c r="E80" s="2">
        <v>1</v>
      </c>
      <c r="F80" s="2" t="s">
        <v>19</v>
      </c>
      <c r="G80" s="2">
        <v>0</v>
      </c>
      <c r="H80" s="2">
        <v>0</v>
      </c>
      <c r="I80" s="2">
        <v>0</v>
      </c>
      <c r="J80" s="2" t="s">
        <v>13</v>
      </c>
      <c r="K80" s="2" t="s">
        <v>21</v>
      </c>
      <c r="L80" s="2" t="s">
        <v>37</v>
      </c>
      <c r="M80" s="2" t="s">
        <v>56</v>
      </c>
      <c r="N80" s="1" t="str">
        <f>_xlfn.CONCAT(A80, "-",VLOOKUP(E80,Value!$B$2:$C$8,2,0),"TP: ",J80,K80)</f>
        <v>78-Buy Limit tại mép Buy Zone M1 Major, Cắt lỗ ở đáy Major.TP: FIXED_R2.0</v>
      </c>
      <c r="O80" s="1" t="str">
        <f>VLOOKUP(J80,Value!$B$26:$C$29,2,0)</f>
        <v>Chốt lời cố định theo tỷ lệ R (Risk-Reward).</v>
      </c>
      <c r="P80" s="1" t="str">
        <f>VLOOKUP(L80,Value!$B$34:$C$37,2,0)</f>
        <v>Tắt tính năng Trailing Stop (Bám đuôi).</v>
      </c>
    </row>
    <row r="81" spans="1:16" ht="20.149999999999999" customHeight="1" x14ac:dyDescent="0.3">
      <c r="A81" s="2">
        <v>79</v>
      </c>
      <c r="B81" s="1" t="s">
        <v>15</v>
      </c>
      <c r="C81" s="1" t="s">
        <v>14</v>
      </c>
      <c r="D81" s="1" t="s">
        <v>12</v>
      </c>
      <c r="E81" s="2">
        <v>0</v>
      </c>
      <c r="F81" s="2" t="s">
        <v>19</v>
      </c>
      <c r="G81" s="2">
        <v>0</v>
      </c>
      <c r="H81" s="2">
        <v>0</v>
      </c>
      <c r="I81" s="2">
        <v>0</v>
      </c>
      <c r="J81" s="2" t="s">
        <v>13</v>
      </c>
      <c r="K81" s="2" t="s">
        <v>21</v>
      </c>
      <c r="L81" s="2" t="s">
        <v>37</v>
      </c>
      <c r="M81" s="2" t="s">
        <v>56</v>
      </c>
      <c r="N81" s="1" t="str">
        <f>_xlfn.CONCAT(A81, "-",VLOOKUP(E81,Value!$B$2:$C$8,2,0),"TP: ",J81,K81)</f>
        <v>79-Đứng ngoàiTP: FIXED_R2.0</v>
      </c>
      <c r="O81" s="1" t="str">
        <f>VLOOKUP(J81,Value!$B$26:$C$29,2,0)</f>
        <v>Chốt lời cố định theo tỷ lệ R (Risk-Reward).</v>
      </c>
      <c r="P81" s="1" t="str">
        <f>VLOOKUP(L81,Value!$B$34:$C$37,2,0)</f>
        <v>Tắt tính năng Trailing Stop (Bám đuôi).</v>
      </c>
    </row>
    <row r="82" spans="1:16" ht="20.149999999999999" customHeight="1" x14ac:dyDescent="0.3">
      <c r="A82" s="2">
        <v>80</v>
      </c>
      <c r="B82" s="1" t="s">
        <v>15</v>
      </c>
      <c r="C82" s="1" t="s">
        <v>14</v>
      </c>
      <c r="D82" s="1" t="s">
        <v>14</v>
      </c>
      <c r="E82" s="2">
        <v>0</v>
      </c>
      <c r="F82" s="2" t="s">
        <v>19</v>
      </c>
      <c r="G82" s="2">
        <v>0</v>
      </c>
      <c r="H82" s="2">
        <v>0</v>
      </c>
      <c r="I82" s="2">
        <v>0</v>
      </c>
      <c r="J82" s="2" t="s">
        <v>13</v>
      </c>
      <c r="K82" s="2" t="s">
        <v>21</v>
      </c>
      <c r="L82" s="2" t="s">
        <v>37</v>
      </c>
      <c r="M82" s="2" t="s">
        <v>56</v>
      </c>
      <c r="N82" s="1" t="str">
        <f>_xlfn.CONCAT(A82, "-",VLOOKUP(E82,Value!$B$2:$C$8,2,0),"TP: ",J82,K82)</f>
        <v>80-Đứng ngoàiTP: FIXED_R2.0</v>
      </c>
      <c r="O82" s="1" t="str">
        <f>VLOOKUP(J82,Value!$B$26:$C$29,2,0)</f>
        <v>Chốt lời cố định theo tỷ lệ R (Risk-Reward).</v>
      </c>
      <c r="P82" s="1" t="str">
        <f>VLOOKUP(L82,Value!$B$34:$C$37,2,0)</f>
        <v>Tắt tính năng Trailing Stop (Bám đuôi).</v>
      </c>
    </row>
    <row r="83" spans="1:16" ht="20.149999999999999" customHeight="1" x14ac:dyDescent="0.3">
      <c r="A83" s="2">
        <v>81</v>
      </c>
      <c r="B83" s="1" t="s">
        <v>15</v>
      </c>
      <c r="C83" s="1" t="s">
        <v>14</v>
      </c>
      <c r="D83" s="1" t="s">
        <v>15</v>
      </c>
      <c r="E83" s="2">
        <v>0</v>
      </c>
      <c r="F83" s="2" t="s">
        <v>19</v>
      </c>
      <c r="G83" s="2">
        <v>0</v>
      </c>
      <c r="H83" s="2">
        <v>0</v>
      </c>
      <c r="I83" s="2">
        <v>0</v>
      </c>
      <c r="J83" s="2" t="s">
        <v>13</v>
      </c>
      <c r="K83" s="2" t="s">
        <v>21</v>
      </c>
      <c r="L83" s="2" t="s">
        <v>37</v>
      </c>
      <c r="M83" s="2" t="s">
        <v>56</v>
      </c>
      <c r="N83" s="1" t="str">
        <f>_xlfn.CONCAT(A83, "-",VLOOKUP(E83,Value!$B$2:$C$8,2,0),"TP: ",J83,K83)</f>
        <v>81-Đứng ngoàiTP: FIXED_R2.0</v>
      </c>
      <c r="O83" s="1" t="str">
        <f>VLOOKUP(J83,Value!$B$26:$C$29,2,0)</f>
        <v>Chốt lời cố định theo tỷ lệ R (Risk-Reward).</v>
      </c>
      <c r="P83" s="1" t="str">
        <f>VLOOKUP(L83,Value!$B$34:$C$37,2,0)</f>
        <v>Tắt tính năng Trailing Stop (Bám đuôi).</v>
      </c>
    </row>
    <row r="84" spans="1:16" ht="20.149999999999999" customHeight="1" x14ac:dyDescent="0.3">
      <c r="A84" s="2">
        <v>82</v>
      </c>
      <c r="B84" s="1" t="s">
        <v>15</v>
      </c>
      <c r="C84" s="1" t="s">
        <v>14</v>
      </c>
      <c r="D84" s="1" t="s">
        <v>16</v>
      </c>
      <c r="E84" s="2">
        <v>0</v>
      </c>
      <c r="F84" s="2" t="s">
        <v>19</v>
      </c>
      <c r="G84" s="2">
        <v>0</v>
      </c>
      <c r="H84" s="2">
        <v>0</v>
      </c>
      <c r="I84" s="2">
        <v>0</v>
      </c>
      <c r="J84" s="2" t="s">
        <v>13</v>
      </c>
      <c r="K84" s="2" t="s">
        <v>21</v>
      </c>
      <c r="L84" s="2" t="s">
        <v>37</v>
      </c>
      <c r="M84" s="2" t="s">
        <v>56</v>
      </c>
      <c r="N84" s="1" t="str">
        <f>_xlfn.CONCAT(A84, "-",VLOOKUP(E84,Value!$B$2:$C$8,2,0),"TP: ",J84,K84)</f>
        <v>82-Đứng ngoàiTP: FIXED_R2.0</v>
      </c>
      <c r="O84" s="1" t="str">
        <f>VLOOKUP(J84,Value!$B$26:$C$29,2,0)</f>
        <v>Chốt lời cố định theo tỷ lệ R (Risk-Reward).</v>
      </c>
      <c r="P84" s="1" t="str">
        <f>VLOOKUP(L84,Value!$B$34:$C$37,2,0)</f>
        <v>Tắt tính năng Trailing Stop (Bám đuôi).</v>
      </c>
    </row>
    <row r="85" spans="1:16" ht="20.149999999999999" customHeight="1" x14ac:dyDescent="0.3">
      <c r="A85" s="2">
        <v>83</v>
      </c>
      <c r="B85" s="1" t="s">
        <v>15</v>
      </c>
      <c r="C85" s="1" t="s">
        <v>14</v>
      </c>
      <c r="D85" s="1" t="s">
        <v>17</v>
      </c>
      <c r="E85" s="2">
        <v>0</v>
      </c>
      <c r="F85" s="2" t="s">
        <v>19</v>
      </c>
      <c r="G85" s="2">
        <v>0</v>
      </c>
      <c r="H85" s="2">
        <v>0</v>
      </c>
      <c r="I85" s="2">
        <v>0</v>
      </c>
      <c r="J85" s="2" t="s">
        <v>13</v>
      </c>
      <c r="K85" s="2" t="s">
        <v>21</v>
      </c>
      <c r="L85" s="2" t="s">
        <v>37</v>
      </c>
      <c r="M85" s="2" t="s">
        <v>56</v>
      </c>
      <c r="N85" s="1" t="str">
        <f>_xlfn.CONCAT(A85, "-",VLOOKUP(E85,Value!$B$2:$C$8,2,0),"TP: ",J85,K85)</f>
        <v>83-Đứng ngoàiTP: FIXED_R2.0</v>
      </c>
      <c r="O85" s="1" t="str">
        <f>VLOOKUP(J85,Value!$B$26:$C$29,2,0)</f>
        <v>Chốt lời cố định theo tỷ lệ R (Risk-Reward).</v>
      </c>
      <c r="P85" s="1" t="str">
        <f>VLOOKUP(L85,Value!$B$34:$C$37,2,0)</f>
        <v>Tắt tính năng Trailing Stop (Bám đuôi).</v>
      </c>
    </row>
    <row r="86" spans="1:16" ht="20.149999999999999" customHeight="1" x14ac:dyDescent="0.3">
      <c r="A86" s="2">
        <v>84</v>
      </c>
      <c r="B86" s="1" t="s">
        <v>15</v>
      </c>
      <c r="C86" s="1" t="s">
        <v>14</v>
      </c>
      <c r="D86" s="1" t="s">
        <v>18</v>
      </c>
      <c r="E86" s="2">
        <v>0</v>
      </c>
      <c r="F86" s="2" t="s">
        <v>19</v>
      </c>
      <c r="G86" s="2">
        <v>0</v>
      </c>
      <c r="H86" s="2">
        <v>0</v>
      </c>
      <c r="I86" s="2">
        <v>0</v>
      </c>
      <c r="J86" s="2" t="s">
        <v>13</v>
      </c>
      <c r="K86" s="2" t="s">
        <v>21</v>
      </c>
      <c r="L86" s="2" t="s">
        <v>37</v>
      </c>
      <c r="M86" s="2" t="s">
        <v>56</v>
      </c>
      <c r="N86" s="1" t="str">
        <f>_xlfn.CONCAT(A86, "-",VLOOKUP(E86,Value!$B$2:$C$8,2,0),"TP: ",J86,K86)</f>
        <v>84-Đứng ngoàiTP: FIXED_R2.0</v>
      </c>
      <c r="O86" s="1" t="str">
        <f>VLOOKUP(J86,Value!$B$26:$C$29,2,0)</f>
        <v>Chốt lời cố định theo tỷ lệ R (Risk-Reward).</v>
      </c>
      <c r="P86" s="1" t="str">
        <f>VLOOKUP(L86,Value!$B$34:$C$37,2,0)</f>
        <v>Tắt tính năng Trailing Stop (Bám đuôi).</v>
      </c>
    </row>
    <row r="87" spans="1:16" ht="20.149999999999999" customHeight="1" x14ac:dyDescent="0.3">
      <c r="A87" s="2">
        <v>85</v>
      </c>
      <c r="B87" s="1" t="s">
        <v>15</v>
      </c>
      <c r="C87" s="1" t="s">
        <v>15</v>
      </c>
      <c r="D87" s="1" t="s">
        <v>12</v>
      </c>
      <c r="E87" s="2">
        <v>2</v>
      </c>
      <c r="F87" s="2" t="s">
        <v>19</v>
      </c>
      <c r="G87" s="2">
        <v>0</v>
      </c>
      <c r="H87" s="2">
        <v>0</v>
      </c>
      <c r="I87" s="2">
        <v>0</v>
      </c>
      <c r="J87" s="2" t="s">
        <v>13</v>
      </c>
      <c r="K87" s="2" t="s">
        <v>21</v>
      </c>
      <c r="L87" s="2" t="s">
        <v>37</v>
      </c>
      <c r="M87" s="2" t="s">
        <v>56</v>
      </c>
      <c r="N87" s="1" t="str">
        <f>_xlfn.CONCAT(A87, "-",VLOOKUP(E87,Value!$B$2:$C$8,2,0),"TP: ",J87,K87)</f>
        <v>85-Sell Limit tại mép Sell Zone M1 Major, Cắt lỗ ở đỉnh Major.TP: FIXED_R2.0</v>
      </c>
      <c r="O87" s="1" t="str">
        <f>VLOOKUP(J87,Value!$B$26:$C$29,2,0)</f>
        <v>Chốt lời cố định theo tỷ lệ R (Risk-Reward).</v>
      </c>
      <c r="P87" s="1" t="str">
        <f>VLOOKUP(L87,Value!$B$34:$C$37,2,0)</f>
        <v>Tắt tính năng Trailing Stop (Bám đuôi).</v>
      </c>
    </row>
    <row r="88" spans="1:16" ht="20.149999999999999" customHeight="1" x14ac:dyDescent="0.3">
      <c r="A88" s="2">
        <v>86</v>
      </c>
      <c r="B88" s="1" t="s">
        <v>15</v>
      </c>
      <c r="C88" s="1" t="s">
        <v>15</v>
      </c>
      <c r="D88" s="1" t="s">
        <v>14</v>
      </c>
      <c r="E88" s="2">
        <v>2</v>
      </c>
      <c r="F88" s="2" t="s">
        <v>19</v>
      </c>
      <c r="G88" s="2">
        <v>0</v>
      </c>
      <c r="H88" s="2">
        <v>0</v>
      </c>
      <c r="I88" s="2">
        <v>0</v>
      </c>
      <c r="J88" s="2" t="s">
        <v>13</v>
      </c>
      <c r="K88" s="2" t="s">
        <v>21</v>
      </c>
      <c r="L88" s="2" t="s">
        <v>37</v>
      </c>
      <c r="M88" s="2" t="s">
        <v>56</v>
      </c>
      <c r="N88" s="1" t="str">
        <f>_xlfn.CONCAT(A88, "-",VLOOKUP(E88,Value!$B$2:$C$8,2,0),"TP: ",J88,K88)</f>
        <v>86-Sell Limit tại mép Sell Zone M1 Major, Cắt lỗ ở đỉnh Major.TP: FIXED_R2.0</v>
      </c>
      <c r="O88" s="1" t="str">
        <f>VLOOKUP(J88,Value!$B$26:$C$29,2,0)</f>
        <v>Chốt lời cố định theo tỷ lệ R (Risk-Reward).</v>
      </c>
      <c r="P88" s="1" t="str">
        <f>VLOOKUP(L88,Value!$B$34:$C$37,2,0)</f>
        <v>Tắt tính năng Trailing Stop (Bám đuôi).</v>
      </c>
    </row>
    <row r="89" spans="1:16" ht="20.149999999999999" customHeight="1" x14ac:dyDescent="0.3">
      <c r="A89" s="2">
        <v>87</v>
      </c>
      <c r="B89" s="1" t="s">
        <v>15</v>
      </c>
      <c r="C89" s="1" t="s">
        <v>15</v>
      </c>
      <c r="D89" s="1" t="s">
        <v>15</v>
      </c>
      <c r="E89" s="2">
        <v>2</v>
      </c>
      <c r="F89" s="2" t="s">
        <v>19</v>
      </c>
      <c r="G89" s="2">
        <v>0</v>
      </c>
      <c r="H89" s="2">
        <v>0</v>
      </c>
      <c r="I89" s="2">
        <v>0</v>
      </c>
      <c r="J89" s="2" t="s">
        <v>13</v>
      </c>
      <c r="K89" s="2" t="s">
        <v>21</v>
      </c>
      <c r="L89" s="2" t="s">
        <v>37</v>
      </c>
      <c r="M89" s="2" t="s">
        <v>56</v>
      </c>
      <c r="N89" s="1" t="str">
        <f>_xlfn.CONCAT(A89, "-",VLOOKUP(E89,Value!$B$2:$C$8,2,0),"TP: ",J89,K89)</f>
        <v>87-Sell Limit tại mép Sell Zone M1 Major, Cắt lỗ ở đỉnh Major.TP: FIXED_R2.0</v>
      </c>
      <c r="O89" s="1" t="str">
        <f>VLOOKUP(J89,Value!$B$26:$C$29,2,0)</f>
        <v>Chốt lời cố định theo tỷ lệ R (Risk-Reward).</v>
      </c>
      <c r="P89" s="1" t="str">
        <f>VLOOKUP(L89,Value!$B$34:$C$37,2,0)</f>
        <v>Tắt tính năng Trailing Stop (Bám đuôi).</v>
      </c>
    </row>
    <row r="90" spans="1:16" ht="20.149999999999999" customHeight="1" x14ac:dyDescent="0.3">
      <c r="A90" s="2">
        <v>88</v>
      </c>
      <c r="B90" s="1" t="s">
        <v>15</v>
      </c>
      <c r="C90" s="1" t="s">
        <v>15</v>
      </c>
      <c r="D90" s="1" t="s">
        <v>16</v>
      </c>
      <c r="E90" s="2">
        <v>2</v>
      </c>
      <c r="F90" s="2" t="s">
        <v>19</v>
      </c>
      <c r="G90" s="2">
        <v>0</v>
      </c>
      <c r="H90" s="2">
        <v>0</v>
      </c>
      <c r="I90" s="2">
        <v>0</v>
      </c>
      <c r="J90" s="2" t="s">
        <v>13</v>
      </c>
      <c r="K90" s="2" t="s">
        <v>21</v>
      </c>
      <c r="L90" s="2" t="s">
        <v>37</v>
      </c>
      <c r="M90" s="2" t="s">
        <v>56</v>
      </c>
      <c r="N90" s="1" t="str">
        <f>_xlfn.CONCAT(A90, "-",VLOOKUP(E90,Value!$B$2:$C$8,2,0),"TP: ",J90,K90)</f>
        <v>88-Sell Limit tại mép Sell Zone M1 Major, Cắt lỗ ở đỉnh Major.TP: FIXED_R2.0</v>
      </c>
      <c r="O90" s="1" t="str">
        <f>VLOOKUP(J90,Value!$B$26:$C$29,2,0)</f>
        <v>Chốt lời cố định theo tỷ lệ R (Risk-Reward).</v>
      </c>
      <c r="P90" s="1" t="str">
        <f>VLOOKUP(L90,Value!$B$34:$C$37,2,0)</f>
        <v>Tắt tính năng Trailing Stop (Bám đuôi).</v>
      </c>
    </row>
    <row r="91" spans="1:16" ht="20.149999999999999" customHeight="1" x14ac:dyDescent="0.3">
      <c r="A91" s="2">
        <v>89</v>
      </c>
      <c r="B91" s="1" t="s">
        <v>15</v>
      </c>
      <c r="C91" s="1" t="s">
        <v>15</v>
      </c>
      <c r="D91" s="1" t="s">
        <v>17</v>
      </c>
      <c r="E91" s="2">
        <v>2</v>
      </c>
      <c r="F91" s="2" t="s">
        <v>19</v>
      </c>
      <c r="G91" s="2">
        <v>0</v>
      </c>
      <c r="H91" s="2">
        <v>0</v>
      </c>
      <c r="I91" s="2">
        <v>0</v>
      </c>
      <c r="J91" s="2" t="s">
        <v>13</v>
      </c>
      <c r="K91" s="2" t="s">
        <v>21</v>
      </c>
      <c r="L91" s="2" t="s">
        <v>37</v>
      </c>
      <c r="M91" s="2" t="s">
        <v>56</v>
      </c>
      <c r="N91" s="1" t="str">
        <f>_xlfn.CONCAT(A91, "-",VLOOKUP(E91,Value!$B$2:$C$8,2,0),"TP: ",J91,K91)</f>
        <v>89-Sell Limit tại mép Sell Zone M1 Major, Cắt lỗ ở đỉnh Major.TP: FIXED_R2.0</v>
      </c>
      <c r="O91" s="1" t="str">
        <f>VLOOKUP(J91,Value!$B$26:$C$29,2,0)</f>
        <v>Chốt lời cố định theo tỷ lệ R (Risk-Reward).</v>
      </c>
      <c r="P91" s="1" t="str">
        <f>VLOOKUP(L91,Value!$B$34:$C$37,2,0)</f>
        <v>Tắt tính năng Trailing Stop (Bám đuôi).</v>
      </c>
    </row>
    <row r="92" spans="1:16" ht="20.149999999999999" customHeight="1" x14ac:dyDescent="0.3">
      <c r="A92" s="2">
        <v>90</v>
      </c>
      <c r="B92" s="1" t="s">
        <v>15</v>
      </c>
      <c r="C92" s="1" t="s">
        <v>15</v>
      </c>
      <c r="D92" s="1" t="s">
        <v>18</v>
      </c>
      <c r="E92" s="2">
        <v>2</v>
      </c>
      <c r="F92" s="2" t="s">
        <v>19</v>
      </c>
      <c r="G92" s="2">
        <v>0</v>
      </c>
      <c r="H92" s="2">
        <v>0</v>
      </c>
      <c r="I92" s="2">
        <v>0</v>
      </c>
      <c r="J92" s="2" t="s">
        <v>13</v>
      </c>
      <c r="K92" s="2" t="s">
        <v>21</v>
      </c>
      <c r="L92" s="2" t="s">
        <v>37</v>
      </c>
      <c r="M92" s="2" t="s">
        <v>56</v>
      </c>
      <c r="N92" s="1" t="str">
        <f>_xlfn.CONCAT(A92, "-",VLOOKUP(E92,Value!$B$2:$C$8,2,0),"TP: ",J92,K92)</f>
        <v>90-Sell Limit tại mép Sell Zone M1 Major, Cắt lỗ ở đỉnh Major.TP: FIXED_R2.0</v>
      </c>
      <c r="O92" s="1" t="str">
        <f>VLOOKUP(J92,Value!$B$26:$C$29,2,0)</f>
        <v>Chốt lời cố định theo tỷ lệ R (Risk-Reward).</v>
      </c>
      <c r="P92" s="1" t="str">
        <f>VLOOKUP(L92,Value!$B$34:$C$37,2,0)</f>
        <v>Tắt tính năng Trailing Stop (Bám đuôi).</v>
      </c>
    </row>
    <row r="93" spans="1:16" ht="20.149999999999999" customHeight="1" x14ac:dyDescent="0.3">
      <c r="A93" s="2">
        <v>91</v>
      </c>
      <c r="B93" s="1" t="s">
        <v>15</v>
      </c>
      <c r="C93" s="1" t="s">
        <v>16</v>
      </c>
      <c r="D93" s="1" t="s">
        <v>12</v>
      </c>
      <c r="E93" s="2">
        <v>2</v>
      </c>
      <c r="F93" s="2" t="s">
        <v>19</v>
      </c>
      <c r="G93" s="2">
        <v>0</v>
      </c>
      <c r="H93" s="2">
        <v>0</v>
      </c>
      <c r="I93" s="2">
        <v>0</v>
      </c>
      <c r="J93" s="2" t="s">
        <v>13</v>
      </c>
      <c r="K93" s="2" t="s">
        <v>21</v>
      </c>
      <c r="L93" s="2" t="s">
        <v>37</v>
      </c>
      <c r="M93" s="2" t="s">
        <v>56</v>
      </c>
      <c r="N93" s="1" t="str">
        <f>_xlfn.CONCAT(A93, "-",VLOOKUP(E93,Value!$B$2:$C$8,2,0),"TP: ",J93,K93)</f>
        <v>91-Sell Limit tại mép Sell Zone M1 Major, Cắt lỗ ở đỉnh Major.TP: FIXED_R2.0</v>
      </c>
      <c r="O93" s="1" t="str">
        <f>VLOOKUP(J93,Value!$B$26:$C$29,2,0)</f>
        <v>Chốt lời cố định theo tỷ lệ R (Risk-Reward).</v>
      </c>
      <c r="P93" s="1" t="str">
        <f>VLOOKUP(L93,Value!$B$34:$C$37,2,0)</f>
        <v>Tắt tính năng Trailing Stop (Bám đuôi).</v>
      </c>
    </row>
    <row r="94" spans="1:16" ht="20.149999999999999" customHeight="1" x14ac:dyDescent="0.3">
      <c r="A94" s="2">
        <v>92</v>
      </c>
      <c r="B94" s="1" t="s">
        <v>15</v>
      </c>
      <c r="C94" s="1" t="s">
        <v>16</v>
      </c>
      <c r="D94" s="1" t="s">
        <v>14</v>
      </c>
      <c r="E94" s="2">
        <v>2</v>
      </c>
      <c r="F94" s="2" t="s">
        <v>19</v>
      </c>
      <c r="G94" s="2">
        <v>0</v>
      </c>
      <c r="H94" s="2">
        <v>0</v>
      </c>
      <c r="I94" s="2">
        <v>0</v>
      </c>
      <c r="J94" s="2" t="s">
        <v>13</v>
      </c>
      <c r="K94" s="2" t="s">
        <v>21</v>
      </c>
      <c r="L94" s="2" t="s">
        <v>37</v>
      </c>
      <c r="M94" s="2" t="s">
        <v>56</v>
      </c>
      <c r="N94" s="1" t="str">
        <f>_xlfn.CONCAT(A94, "-",VLOOKUP(E94,Value!$B$2:$C$8,2,0),"TP: ",J94,K94)</f>
        <v>92-Sell Limit tại mép Sell Zone M1 Major, Cắt lỗ ở đỉnh Major.TP: FIXED_R2.0</v>
      </c>
      <c r="O94" s="1" t="str">
        <f>VLOOKUP(J94,Value!$B$26:$C$29,2,0)</f>
        <v>Chốt lời cố định theo tỷ lệ R (Risk-Reward).</v>
      </c>
      <c r="P94" s="1" t="str">
        <f>VLOOKUP(L94,Value!$B$34:$C$37,2,0)</f>
        <v>Tắt tính năng Trailing Stop (Bám đuôi).</v>
      </c>
    </row>
    <row r="95" spans="1:16" ht="20.149999999999999" customHeight="1" x14ac:dyDescent="0.3">
      <c r="A95" s="2">
        <v>93</v>
      </c>
      <c r="B95" s="1" t="s">
        <v>15</v>
      </c>
      <c r="C95" s="1" t="s">
        <v>16</v>
      </c>
      <c r="D95" s="1" t="s">
        <v>15</v>
      </c>
      <c r="E95" s="2">
        <v>2</v>
      </c>
      <c r="F95" s="2" t="s">
        <v>19</v>
      </c>
      <c r="G95" s="2">
        <v>0</v>
      </c>
      <c r="H95" s="2">
        <v>0</v>
      </c>
      <c r="I95" s="2">
        <v>0</v>
      </c>
      <c r="J95" s="2" t="s">
        <v>13</v>
      </c>
      <c r="K95" s="2" t="s">
        <v>21</v>
      </c>
      <c r="L95" s="2" t="s">
        <v>37</v>
      </c>
      <c r="M95" s="2" t="s">
        <v>56</v>
      </c>
      <c r="N95" s="1" t="str">
        <f>_xlfn.CONCAT(A95, "-",VLOOKUP(E95,Value!$B$2:$C$8,2,0),"TP: ",J95,K95)</f>
        <v>93-Sell Limit tại mép Sell Zone M1 Major, Cắt lỗ ở đỉnh Major.TP: FIXED_R2.0</v>
      </c>
      <c r="O95" s="1" t="str">
        <f>VLOOKUP(J95,Value!$B$26:$C$29,2,0)</f>
        <v>Chốt lời cố định theo tỷ lệ R (Risk-Reward).</v>
      </c>
      <c r="P95" s="1" t="str">
        <f>VLOOKUP(L95,Value!$B$34:$C$37,2,0)</f>
        <v>Tắt tính năng Trailing Stop (Bám đuôi).</v>
      </c>
    </row>
    <row r="96" spans="1:16" ht="20.149999999999999" customHeight="1" x14ac:dyDescent="0.3">
      <c r="A96" s="2">
        <v>94</v>
      </c>
      <c r="B96" s="1" t="s">
        <v>15</v>
      </c>
      <c r="C96" s="1" t="s">
        <v>16</v>
      </c>
      <c r="D96" s="1" t="s">
        <v>16</v>
      </c>
      <c r="E96" s="2">
        <v>2</v>
      </c>
      <c r="F96" s="2" t="s">
        <v>19</v>
      </c>
      <c r="G96" s="2">
        <v>0</v>
      </c>
      <c r="H96" s="2">
        <v>0</v>
      </c>
      <c r="I96" s="2">
        <v>0</v>
      </c>
      <c r="J96" s="2" t="s">
        <v>13</v>
      </c>
      <c r="K96" s="2" t="s">
        <v>21</v>
      </c>
      <c r="L96" s="2" t="s">
        <v>37</v>
      </c>
      <c r="M96" s="2" t="s">
        <v>56</v>
      </c>
      <c r="N96" s="1" t="str">
        <f>_xlfn.CONCAT(A96, "-",VLOOKUP(E96,Value!$B$2:$C$8,2,0),"TP: ",J96,K96)</f>
        <v>94-Sell Limit tại mép Sell Zone M1 Major, Cắt lỗ ở đỉnh Major.TP: FIXED_R2.0</v>
      </c>
      <c r="O96" s="1" t="str">
        <f>VLOOKUP(J96,Value!$B$26:$C$29,2,0)</f>
        <v>Chốt lời cố định theo tỷ lệ R (Risk-Reward).</v>
      </c>
      <c r="P96" s="1" t="str">
        <f>VLOOKUP(L96,Value!$B$34:$C$37,2,0)</f>
        <v>Tắt tính năng Trailing Stop (Bám đuôi).</v>
      </c>
    </row>
    <row r="97" spans="1:16" ht="20.149999999999999" customHeight="1" x14ac:dyDescent="0.3">
      <c r="A97" s="2">
        <v>95</v>
      </c>
      <c r="B97" s="1" t="s">
        <v>15</v>
      </c>
      <c r="C97" s="1" t="s">
        <v>16</v>
      </c>
      <c r="D97" s="1" t="s">
        <v>17</v>
      </c>
      <c r="E97" s="2">
        <v>2</v>
      </c>
      <c r="F97" s="2" t="s">
        <v>19</v>
      </c>
      <c r="G97" s="2">
        <v>0</v>
      </c>
      <c r="H97" s="2">
        <v>0</v>
      </c>
      <c r="I97" s="2">
        <v>0</v>
      </c>
      <c r="J97" s="2" t="s">
        <v>13</v>
      </c>
      <c r="K97" s="2" t="s">
        <v>21</v>
      </c>
      <c r="L97" s="2" t="s">
        <v>37</v>
      </c>
      <c r="M97" s="2" t="s">
        <v>56</v>
      </c>
      <c r="N97" s="1" t="str">
        <f>_xlfn.CONCAT(A97, "-",VLOOKUP(E97,Value!$B$2:$C$8,2,0),"TP: ",J97,K97)</f>
        <v>95-Sell Limit tại mép Sell Zone M1 Major, Cắt lỗ ở đỉnh Major.TP: FIXED_R2.0</v>
      </c>
      <c r="O97" s="1" t="str">
        <f>VLOOKUP(J97,Value!$B$26:$C$29,2,0)</f>
        <v>Chốt lời cố định theo tỷ lệ R (Risk-Reward).</v>
      </c>
      <c r="P97" s="1" t="str">
        <f>VLOOKUP(L97,Value!$B$34:$C$37,2,0)</f>
        <v>Tắt tính năng Trailing Stop (Bám đuôi).</v>
      </c>
    </row>
    <row r="98" spans="1:16" ht="20.149999999999999" customHeight="1" x14ac:dyDescent="0.3">
      <c r="A98" s="2">
        <v>96</v>
      </c>
      <c r="B98" s="1" t="s">
        <v>15</v>
      </c>
      <c r="C98" s="1" t="s">
        <v>16</v>
      </c>
      <c r="D98" s="1" t="s">
        <v>18</v>
      </c>
      <c r="E98" s="2">
        <v>2</v>
      </c>
      <c r="F98" s="2" t="s">
        <v>19</v>
      </c>
      <c r="G98" s="2">
        <v>0</v>
      </c>
      <c r="H98" s="2">
        <v>0</v>
      </c>
      <c r="I98" s="2">
        <v>0</v>
      </c>
      <c r="J98" s="2" t="s">
        <v>13</v>
      </c>
      <c r="K98" s="2" t="s">
        <v>21</v>
      </c>
      <c r="L98" s="2" t="s">
        <v>37</v>
      </c>
      <c r="M98" s="2" t="s">
        <v>56</v>
      </c>
      <c r="N98" s="1" t="str">
        <f>_xlfn.CONCAT(A98, "-",VLOOKUP(E98,Value!$B$2:$C$8,2,0),"TP: ",J98,K98)</f>
        <v>96-Sell Limit tại mép Sell Zone M1 Major, Cắt lỗ ở đỉnh Major.TP: FIXED_R2.0</v>
      </c>
      <c r="O98" s="1" t="str">
        <f>VLOOKUP(J98,Value!$B$26:$C$29,2,0)</f>
        <v>Chốt lời cố định theo tỷ lệ R (Risk-Reward).</v>
      </c>
      <c r="P98" s="1" t="str">
        <f>VLOOKUP(L98,Value!$B$34:$C$37,2,0)</f>
        <v>Tắt tính năng Trailing Stop (Bám đuôi).</v>
      </c>
    </row>
    <row r="99" spans="1:16" ht="20.149999999999999" customHeight="1" x14ac:dyDescent="0.3">
      <c r="A99" s="2">
        <v>97</v>
      </c>
      <c r="B99" s="1" t="s">
        <v>15</v>
      </c>
      <c r="C99" s="1" t="s">
        <v>17</v>
      </c>
      <c r="D99" s="1" t="s">
        <v>12</v>
      </c>
      <c r="E99" s="2">
        <v>0</v>
      </c>
      <c r="F99" s="2" t="s">
        <v>19</v>
      </c>
      <c r="G99" s="2">
        <v>0</v>
      </c>
      <c r="H99" s="2">
        <v>0</v>
      </c>
      <c r="I99" s="2">
        <v>0</v>
      </c>
      <c r="J99" s="2" t="s">
        <v>13</v>
      </c>
      <c r="K99" s="2" t="s">
        <v>21</v>
      </c>
      <c r="L99" s="2" t="s">
        <v>37</v>
      </c>
      <c r="M99" s="2" t="s">
        <v>56</v>
      </c>
      <c r="N99" s="1" t="str">
        <f>_xlfn.CONCAT(A99, "-",VLOOKUP(E99,Value!$B$2:$C$8,2,0),"TP: ",J99,K99)</f>
        <v>97-Đứng ngoàiTP: FIXED_R2.0</v>
      </c>
      <c r="O99" s="1" t="str">
        <f>VLOOKUP(J99,Value!$B$26:$C$29,2,0)</f>
        <v>Chốt lời cố định theo tỷ lệ R (Risk-Reward).</v>
      </c>
      <c r="P99" s="1" t="str">
        <f>VLOOKUP(L99,Value!$B$34:$C$37,2,0)</f>
        <v>Tắt tính năng Trailing Stop (Bám đuôi).</v>
      </c>
    </row>
    <row r="100" spans="1:16" ht="20.149999999999999" customHeight="1" x14ac:dyDescent="0.3">
      <c r="A100" s="2">
        <v>98</v>
      </c>
      <c r="B100" s="1" t="s">
        <v>15</v>
      </c>
      <c r="C100" s="1" t="s">
        <v>17</v>
      </c>
      <c r="D100" s="1" t="s">
        <v>14</v>
      </c>
      <c r="E100" s="2">
        <v>0</v>
      </c>
      <c r="F100" s="2" t="s">
        <v>19</v>
      </c>
      <c r="G100" s="2">
        <v>0</v>
      </c>
      <c r="H100" s="2">
        <v>0</v>
      </c>
      <c r="I100" s="2">
        <v>0</v>
      </c>
      <c r="J100" s="2" t="s">
        <v>13</v>
      </c>
      <c r="K100" s="2" t="s">
        <v>21</v>
      </c>
      <c r="L100" s="2" t="s">
        <v>37</v>
      </c>
      <c r="M100" s="2" t="s">
        <v>56</v>
      </c>
      <c r="N100" s="1" t="str">
        <f>_xlfn.CONCAT(A100, "-",VLOOKUP(E100,Value!$B$2:$C$8,2,0),"TP: ",J100,K100)</f>
        <v>98-Đứng ngoàiTP: FIXED_R2.0</v>
      </c>
      <c r="O100" s="1" t="str">
        <f>VLOOKUP(J100,Value!$B$26:$C$29,2,0)</f>
        <v>Chốt lời cố định theo tỷ lệ R (Risk-Reward).</v>
      </c>
      <c r="P100" s="1" t="str">
        <f>VLOOKUP(L100,Value!$B$34:$C$37,2,0)</f>
        <v>Tắt tính năng Trailing Stop (Bám đuôi).</v>
      </c>
    </row>
    <row r="101" spans="1:16" ht="20.149999999999999" customHeight="1" x14ac:dyDescent="0.3">
      <c r="A101" s="2">
        <v>99</v>
      </c>
      <c r="B101" s="1" t="s">
        <v>15</v>
      </c>
      <c r="C101" s="1" t="s">
        <v>17</v>
      </c>
      <c r="D101" s="1" t="s">
        <v>15</v>
      </c>
      <c r="E101" s="2">
        <v>0</v>
      </c>
      <c r="F101" s="2" t="s">
        <v>19</v>
      </c>
      <c r="G101" s="2">
        <v>0</v>
      </c>
      <c r="H101" s="2">
        <v>0</v>
      </c>
      <c r="I101" s="2">
        <v>0</v>
      </c>
      <c r="J101" s="2" t="s">
        <v>13</v>
      </c>
      <c r="K101" s="2" t="s">
        <v>21</v>
      </c>
      <c r="L101" s="2" t="s">
        <v>37</v>
      </c>
      <c r="M101" s="2" t="s">
        <v>56</v>
      </c>
      <c r="N101" s="1" t="str">
        <f>_xlfn.CONCAT(A101, "-",VLOOKUP(E101,Value!$B$2:$C$8,2,0),"TP: ",J101,K101)</f>
        <v>99-Đứng ngoàiTP: FIXED_R2.0</v>
      </c>
      <c r="O101" s="1" t="str">
        <f>VLOOKUP(J101,Value!$B$26:$C$29,2,0)</f>
        <v>Chốt lời cố định theo tỷ lệ R (Risk-Reward).</v>
      </c>
      <c r="P101" s="1" t="str">
        <f>VLOOKUP(L101,Value!$B$34:$C$37,2,0)</f>
        <v>Tắt tính năng Trailing Stop (Bám đuôi).</v>
      </c>
    </row>
    <row r="102" spans="1:16" ht="20.149999999999999" customHeight="1" x14ac:dyDescent="0.3">
      <c r="A102" s="2">
        <v>100</v>
      </c>
      <c r="B102" s="1" t="s">
        <v>15</v>
      </c>
      <c r="C102" s="1" t="s">
        <v>17</v>
      </c>
      <c r="D102" s="1" t="s">
        <v>16</v>
      </c>
      <c r="E102" s="2">
        <v>0</v>
      </c>
      <c r="F102" s="2" t="s">
        <v>19</v>
      </c>
      <c r="G102" s="2">
        <v>0</v>
      </c>
      <c r="H102" s="2">
        <v>0</v>
      </c>
      <c r="I102" s="2">
        <v>0</v>
      </c>
      <c r="J102" s="2" t="s">
        <v>13</v>
      </c>
      <c r="K102" s="2" t="s">
        <v>21</v>
      </c>
      <c r="L102" s="2" t="s">
        <v>37</v>
      </c>
      <c r="M102" s="2" t="s">
        <v>56</v>
      </c>
      <c r="N102" s="1" t="str">
        <f>_xlfn.CONCAT(A102, "-",VLOOKUP(E102,Value!$B$2:$C$8,2,0),"TP: ",J102,K102)</f>
        <v>100-Đứng ngoàiTP: FIXED_R2.0</v>
      </c>
      <c r="O102" s="1" t="str">
        <f>VLOOKUP(J102,Value!$B$26:$C$29,2,0)</f>
        <v>Chốt lời cố định theo tỷ lệ R (Risk-Reward).</v>
      </c>
      <c r="P102" s="1" t="str">
        <f>VLOOKUP(L102,Value!$B$34:$C$37,2,0)</f>
        <v>Tắt tính năng Trailing Stop (Bám đuôi).</v>
      </c>
    </row>
    <row r="103" spans="1:16" ht="20.149999999999999" customHeight="1" x14ac:dyDescent="0.3">
      <c r="A103" s="2">
        <v>101</v>
      </c>
      <c r="B103" s="1" t="s">
        <v>15</v>
      </c>
      <c r="C103" s="1" t="s">
        <v>17</v>
      </c>
      <c r="D103" s="1" t="s">
        <v>17</v>
      </c>
      <c r="E103" s="2">
        <v>0</v>
      </c>
      <c r="F103" s="2" t="s">
        <v>19</v>
      </c>
      <c r="G103" s="2">
        <v>0</v>
      </c>
      <c r="H103" s="2">
        <v>0</v>
      </c>
      <c r="I103" s="2">
        <v>0</v>
      </c>
      <c r="J103" s="2" t="s">
        <v>13</v>
      </c>
      <c r="K103" s="2" t="s">
        <v>21</v>
      </c>
      <c r="L103" s="2" t="s">
        <v>37</v>
      </c>
      <c r="M103" s="2" t="s">
        <v>56</v>
      </c>
      <c r="N103" s="1" t="str">
        <f>_xlfn.CONCAT(A103, "-",VLOOKUP(E103,Value!$B$2:$C$8,2,0),"TP: ",J103,K103)</f>
        <v>101-Đứng ngoàiTP: FIXED_R2.0</v>
      </c>
      <c r="O103" s="1" t="str">
        <f>VLOOKUP(J103,Value!$B$26:$C$29,2,0)</f>
        <v>Chốt lời cố định theo tỷ lệ R (Risk-Reward).</v>
      </c>
      <c r="P103" s="1" t="str">
        <f>VLOOKUP(L103,Value!$B$34:$C$37,2,0)</f>
        <v>Tắt tính năng Trailing Stop (Bám đuôi).</v>
      </c>
    </row>
    <row r="104" spans="1:16" ht="20.149999999999999" customHeight="1" x14ac:dyDescent="0.3">
      <c r="A104" s="2">
        <v>102</v>
      </c>
      <c r="B104" s="1" t="s">
        <v>15</v>
      </c>
      <c r="C104" s="1" t="s">
        <v>17</v>
      </c>
      <c r="D104" s="1" t="s">
        <v>18</v>
      </c>
      <c r="E104" s="2">
        <v>0</v>
      </c>
      <c r="F104" s="2" t="s">
        <v>19</v>
      </c>
      <c r="G104" s="2">
        <v>0</v>
      </c>
      <c r="H104" s="2">
        <v>0</v>
      </c>
      <c r="I104" s="2">
        <v>0</v>
      </c>
      <c r="J104" s="2" t="s">
        <v>13</v>
      </c>
      <c r="K104" s="2" t="s">
        <v>21</v>
      </c>
      <c r="L104" s="2" t="s">
        <v>37</v>
      </c>
      <c r="M104" s="2" t="s">
        <v>56</v>
      </c>
      <c r="N104" s="1" t="str">
        <f>_xlfn.CONCAT(A104, "-",VLOOKUP(E104,Value!$B$2:$C$8,2,0),"TP: ",J104,K104)</f>
        <v>102-Đứng ngoàiTP: FIXED_R2.0</v>
      </c>
      <c r="O104" s="1" t="str">
        <f>VLOOKUP(J104,Value!$B$26:$C$29,2,0)</f>
        <v>Chốt lời cố định theo tỷ lệ R (Risk-Reward).</v>
      </c>
      <c r="P104" s="1" t="str">
        <f>VLOOKUP(L104,Value!$B$34:$C$37,2,0)</f>
        <v>Tắt tính năng Trailing Stop (Bám đuôi).</v>
      </c>
    </row>
    <row r="105" spans="1:16" ht="20.149999999999999" customHeight="1" x14ac:dyDescent="0.3">
      <c r="A105" s="2">
        <v>103</v>
      </c>
      <c r="B105" s="1" t="s">
        <v>15</v>
      </c>
      <c r="C105" s="1" t="s">
        <v>18</v>
      </c>
      <c r="D105" s="1" t="s">
        <v>12</v>
      </c>
      <c r="E105" s="2">
        <v>1</v>
      </c>
      <c r="F105" s="2" t="s">
        <v>19</v>
      </c>
      <c r="G105" s="2">
        <v>0</v>
      </c>
      <c r="H105" s="2">
        <v>0</v>
      </c>
      <c r="I105" s="2">
        <v>0</v>
      </c>
      <c r="J105" s="2" t="s">
        <v>13</v>
      </c>
      <c r="K105" s="2" t="s">
        <v>21</v>
      </c>
      <c r="L105" s="2" t="s">
        <v>37</v>
      </c>
      <c r="M105" s="2" t="s">
        <v>56</v>
      </c>
      <c r="N105" s="1" t="str">
        <f>_xlfn.CONCAT(A105, "-",VLOOKUP(E105,Value!$B$2:$C$8,2,0),"TP: ",J105,K105)</f>
        <v>103-Buy Limit tại mép Buy Zone M1 Major, Cắt lỗ ở đáy Major.TP: FIXED_R2.0</v>
      </c>
      <c r="O105" s="1" t="str">
        <f>VLOOKUP(J105,Value!$B$26:$C$29,2,0)</f>
        <v>Chốt lời cố định theo tỷ lệ R (Risk-Reward).</v>
      </c>
      <c r="P105" s="1" t="str">
        <f>VLOOKUP(L105,Value!$B$34:$C$37,2,0)</f>
        <v>Tắt tính năng Trailing Stop (Bám đuôi).</v>
      </c>
    </row>
    <row r="106" spans="1:16" ht="20.149999999999999" customHeight="1" x14ac:dyDescent="0.3">
      <c r="A106" s="2">
        <v>104</v>
      </c>
      <c r="B106" s="1" t="s">
        <v>15</v>
      </c>
      <c r="C106" s="1" t="s">
        <v>18</v>
      </c>
      <c r="D106" s="1" t="s">
        <v>14</v>
      </c>
      <c r="E106" s="2">
        <v>1</v>
      </c>
      <c r="F106" s="2" t="s">
        <v>19</v>
      </c>
      <c r="G106" s="2">
        <v>0</v>
      </c>
      <c r="H106" s="2">
        <v>0</v>
      </c>
      <c r="I106" s="2">
        <v>0</v>
      </c>
      <c r="J106" s="2" t="s">
        <v>13</v>
      </c>
      <c r="K106" s="2" t="s">
        <v>21</v>
      </c>
      <c r="L106" s="2" t="s">
        <v>37</v>
      </c>
      <c r="M106" s="2" t="s">
        <v>56</v>
      </c>
      <c r="N106" s="1" t="str">
        <f>_xlfn.CONCAT(A106, "-",VLOOKUP(E106,Value!$B$2:$C$8,2,0),"TP: ",J106,K106)</f>
        <v>104-Buy Limit tại mép Buy Zone M1 Major, Cắt lỗ ở đáy Major.TP: FIXED_R2.0</v>
      </c>
      <c r="O106" s="1" t="str">
        <f>VLOOKUP(J106,Value!$B$26:$C$29,2,0)</f>
        <v>Chốt lời cố định theo tỷ lệ R (Risk-Reward).</v>
      </c>
      <c r="P106" s="1" t="str">
        <f>VLOOKUP(L106,Value!$B$34:$C$37,2,0)</f>
        <v>Tắt tính năng Trailing Stop (Bám đuôi).</v>
      </c>
    </row>
    <row r="107" spans="1:16" ht="20.149999999999999" customHeight="1" x14ac:dyDescent="0.3">
      <c r="A107" s="2">
        <v>105</v>
      </c>
      <c r="B107" s="1" t="s">
        <v>15</v>
      </c>
      <c r="C107" s="1" t="s">
        <v>18</v>
      </c>
      <c r="D107" s="1" t="s">
        <v>15</v>
      </c>
      <c r="E107" s="2">
        <v>1</v>
      </c>
      <c r="F107" s="2" t="s">
        <v>19</v>
      </c>
      <c r="G107" s="2">
        <v>0</v>
      </c>
      <c r="H107" s="2">
        <v>0</v>
      </c>
      <c r="I107" s="2">
        <v>0</v>
      </c>
      <c r="J107" s="2" t="s">
        <v>13</v>
      </c>
      <c r="K107" s="2" t="s">
        <v>21</v>
      </c>
      <c r="L107" s="2" t="s">
        <v>37</v>
      </c>
      <c r="M107" s="2" t="s">
        <v>56</v>
      </c>
      <c r="N107" s="1" t="str">
        <f>_xlfn.CONCAT(A107, "-",VLOOKUP(E107,Value!$B$2:$C$8,2,0),"TP: ",J107,K107)</f>
        <v>105-Buy Limit tại mép Buy Zone M1 Major, Cắt lỗ ở đáy Major.TP: FIXED_R2.0</v>
      </c>
      <c r="O107" s="1" t="str">
        <f>VLOOKUP(J107,Value!$B$26:$C$29,2,0)</f>
        <v>Chốt lời cố định theo tỷ lệ R (Risk-Reward).</v>
      </c>
      <c r="P107" s="1" t="str">
        <f>VLOOKUP(L107,Value!$B$34:$C$37,2,0)</f>
        <v>Tắt tính năng Trailing Stop (Bám đuôi).</v>
      </c>
    </row>
    <row r="108" spans="1:16" ht="20.149999999999999" customHeight="1" x14ac:dyDescent="0.3">
      <c r="A108" s="2">
        <v>106</v>
      </c>
      <c r="B108" s="1" t="s">
        <v>15</v>
      </c>
      <c r="C108" s="1" t="s">
        <v>18</v>
      </c>
      <c r="D108" s="1" t="s">
        <v>16</v>
      </c>
      <c r="E108" s="2">
        <v>1</v>
      </c>
      <c r="F108" s="2" t="s">
        <v>19</v>
      </c>
      <c r="G108" s="2">
        <v>0</v>
      </c>
      <c r="H108" s="2">
        <v>0</v>
      </c>
      <c r="I108" s="2">
        <v>0</v>
      </c>
      <c r="J108" s="2" t="s">
        <v>13</v>
      </c>
      <c r="K108" s="2" t="s">
        <v>21</v>
      </c>
      <c r="L108" s="2" t="s">
        <v>37</v>
      </c>
      <c r="M108" s="2" t="s">
        <v>56</v>
      </c>
      <c r="N108" s="1" t="str">
        <f>_xlfn.CONCAT(A108, "-",VLOOKUP(E108,Value!$B$2:$C$8,2,0),"TP: ",J108,K108)</f>
        <v>106-Buy Limit tại mép Buy Zone M1 Major, Cắt lỗ ở đáy Major.TP: FIXED_R2.0</v>
      </c>
      <c r="O108" s="1" t="str">
        <f>VLOOKUP(J108,Value!$B$26:$C$29,2,0)</f>
        <v>Chốt lời cố định theo tỷ lệ R (Risk-Reward).</v>
      </c>
      <c r="P108" s="1" t="str">
        <f>VLOOKUP(L108,Value!$B$34:$C$37,2,0)</f>
        <v>Tắt tính năng Trailing Stop (Bám đuôi).</v>
      </c>
    </row>
    <row r="109" spans="1:16" ht="20.149999999999999" customHeight="1" x14ac:dyDescent="0.3">
      <c r="A109" s="2">
        <v>107</v>
      </c>
      <c r="B109" s="1" t="s">
        <v>15</v>
      </c>
      <c r="C109" s="1" t="s">
        <v>18</v>
      </c>
      <c r="D109" s="1" t="s">
        <v>17</v>
      </c>
      <c r="E109" s="2">
        <v>1</v>
      </c>
      <c r="F109" s="2" t="s">
        <v>19</v>
      </c>
      <c r="G109" s="2">
        <v>0</v>
      </c>
      <c r="H109" s="2">
        <v>0</v>
      </c>
      <c r="I109" s="2">
        <v>0</v>
      </c>
      <c r="J109" s="2" t="s">
        <v>13</v>
      </c>
      <c r="K109" s="2" t="s">
        <v>21</v>
      </c>
      <c r="L109" s="2" t="s">
        <v>37</v>
      </c>
      <c r="M109" s="2" t="s">
        <v>56</v>
      </c>
      <c r="N109" s="1" t="str">
        <f>_xlfn.CONCAT(A109, "-",VLOOKUP(E109,Value!$B$2:$C$8,2,0),"TP: ",J109,K109)</f>
        <v>107-Buy Limit tại mép Buy Zone M1 Major, Cắt lỗ ở đáy Major.TP: FIXED_R2.0</v>
      </c>
      <c r="O109" s="1" t="str">
        <f>VLOOKUP(J109,Value!$B$26:$C$29,2,0)</f>
        <v>Chốt lời cố định theo tỷ lệ R (Risk-Reward).</v>
      </c>
      <c r="P109" s="1" t="str">
        <f>VLOOKUP(L109,Value!$B$34:$C$37,2,0)</f>
        <v>Tắt tính năng Trailing Stop (Bám đuôi).</v>
      </c>
    </row>
    <row r="110" spans="1:16" ht="20.149999999999999" customHeight="1" x14ac:dyDescent="0.3">
      <c r="A110" s="2">
        <v>108</v>
      </c>
      <c r="B110" s="1" t="s">
        <v>15</v>
      </c>
      <c r="C110" s="1" t="s">
        <v>18</v>
      </c>
      <c r="D110" s="1" t="s">
        <v>18</v>
      </c>
      <c r="E110" s="2">
        <v>1</v>
      </c>
      <c r="F110" s="2" t="s">
        <v>19</v>
      </c>
      <c r="G110" s="2">
        <v>0</v>
      </c>
      <c r="H110" s="2">
        <v>0</v>
      </c>
      <c r="I110" s="2">
        <v>0</v>
      </c>
      <c r="J110" s="2" t="s">
        <v>13</v>
      </c>
      <c r="K110" s="2" t="s">
        <v>21</v>
      </c>
      <c r="L110" s="2" t="s">
        <v>37</v>
      </c>
      <c r="M110" s="2" t="s">
        <v>56</v>
      </c>
      <c r="N110" s="1" t="str">
        <f>_xlfn.CONCAT(A110, "-",VLOOKUP(E110,Value!$B$2:$C$8,2,0),"TP: ",J110,K110)</f>
        <v>108-Buy Limit tại mép Buy Zone M1 Major, Cắt lỗ ở đáy Major.TP: FIXED_R2.0</v>
      </c>
      <c r="O110" s="1" t="str">
        <f>VLOOKUP(J110,Value!$B$26:$C$29,2,0)</f>
        <v>Chốt lời cố định theo tỷ lệ R (Risk-Reward).</v>
      </c>
      <c r="P110" s="1" t="str">
        <f>VLOOKUP(L110,Value!$B$34:$C$37,2,0)</f>
        <v>Tắt tính năng Trailing Stop (Bám đuôi).</v>
      </c>
    </row>
    <row r="111" spans="1:16" ht="20.149999999999999" customHeight="1" x14ac:dyDescent="0.3">
      <c r="A111" s="2">
        <v>109</v>
      </c>
      <c r="B111" s="1" t="s">
        <v>16</v>
      </c>
      <c r="C111" s="1" t="s">
        <v>12</v>
      </c>
      <c r="D111" s="1" t="s">
        <v>12</v>
      </c>
      <c r="E111" s="2">
        <v>1</v>
      </c>
      <c r="F111" s="2" t="s">
        <v>19</v>
      </c>
      <c r="G111" s="2">
        <v>0</v>
      </c>
      <c r="H111" s="2">
        <v>0</v>
      </c>
      <c r="I111" s="2">
        <v>0</v>
      </c>
      <c r="J111" s="2" t="s">
        <v>13</v>
      </c>
      <c r="K111" s="2" t="s">
        <v>21</v>
      </c>
      <c r="L111" s="2" t="s">
        <v>37</v>
      </c>
      <c r="M111" s="2" t="s">
        <v>56</v>
      </c>
      <c r="N111" s="1" t="str">
        <f>_xlfn.CONCAT(A111, "-",VLOOKUP(E111,Value!$B$2:$C$8,2,0),"TP: ",J111,K111)</f>
        <v>109-Buy Limit tại mép Buy Zone M1 Major, Cắt lỗ ở đáy Major.TP: FIXED_R2.0</v>
      </c>
      <c r="O111" s="1" t="str">
        <f>VLOOKUP(J111,Value!$B$26:$C$29,2,0)</f>
        <v>Chốt lời cố định theo tỷ lệ R (Risk-Reward).</v>
      </c>
      <c r="P111" s="1" t="str">
        <f>VLOOKUP(L111,Value!$B$34:$C$37,2,0)</f>
        <v>Tắt tính năng Trailing Stop (Bám đuôi).</v>
      </c>
    </row>
    <row r="112" spans="1:16" ht="20.149999999999999" customHeight="1" x14ac:dyDescent="0.3">
      <c r="A112" s="2">
        <v>110</v>
      </c>
      <c r="B112" s="1" t="s">
        <v>16</v>
      </c>
      <c r="C112" s="1" t="s">
        <v>12</v>
      </c>
      <c r="D112" s="1" t="s">
        <v>14</v>
      </c>
      <c r="E112" s="2">
        <v>1</v>
      </c>
      <c r="F112" s="2" t="s">
        <v>19</v>
      </c>
      <c r="G112" s="2">
        <v>0</v>
      </c>
      <c r="H112" s="2">
        <v>0</v>
      </c>
      <c r="I112" s="2">
        <v>0</v>
      </c>
      <c r="J112" s="2" t="s">
        <v>13</v>
      </c>
      <c r="K112" s="2" t="s">
        <v>21</v>
      </c>
      <c r="L112" s="2" t="s">
        <v>37</v>
      </c>
      <c r="M112" s="2" t="s">
        <v>56</v>
      </c>
      <c r="N112" s="1" t="str">
        <f>_xlfn.CONCAT(A112, "-",VLOOKUP(E112,Value!$B$2:$C$8,2,0),"TP: ",J112,K112)</f>
        <v>110-Buy Limit tại mép Buy Zone M1 Major, Cắt lỗ ở đáy Major.TP: FIXED_R2.0</v>
      </c>
      <c r="O112" s="1" t="str">
        <f>VLOOKUP(J112,Value!$B$26:$C$29,2,0)</f>
        <v>Chốt lời cố định theo tỷ lệ R (Risk-Reward).</v>
      </c>
      <c r="P112" s="1" t="str">
        <f>VLOOKUP(L112,Value!$B$34:$C$37,2,0)</f>
        <v>Tắt tính năng Trailing Stop (Bám đuôi).</v>
      </c>
    </row>
    <row r="113" spans="1:16" ht="20.149999999999999" customHeight="1" x14ac:dyDescent="0.3">
      <c r="A113" s="2">
        <v>111</v>
      </c>
      <c r="B113" s="1" t="s">
        <v>16</v>
      </c>
      <c r="C113" s="1" t="s">
        <v>12</v>
      </c>
      <c r="D113" s="1" t="s">
        <v>15</v>
      </c>
      <c r="E113" s="2">
        <v>1</v>
      </c>
      <c r="F113" s="2" t="s">
        <v>19</v>
      </c>
      <c r="G113" s="2">
        <v>0</v>
      </c>
      <c r="H113" s="2">
        <v>0</v>
      </c>
      <c r="I113" s="2">
        <v>0</v>
      </c>
      <c r="J113" s="2" t="s">
        <v>13</v>
      </c>
      <c r="K113" s="2" t="s">
        <v>21</v>
      </c>
      <c r="L113" s="2" t="s">
        <v>37</v>
      </c>
      <c r="M113" s="2" t="s">
        <v>56</v>
      </c>
      <c r="N113" s="1" t="str">
        <f>_xlfn.CONCAT(A113, "-",VLOOKUP(E113,Value!$B$2:$C$8,2,0),"TP: ",J113,K113)</f>
        <v>111-Buy Limit tại mép Buy Zone M1 Major, Cắt lỗ ở đáy Major.TP: FIXED_R2.0</v>
      </c>
      <c r="O113" s="1" t="str">
        <f>VLOOKUP(J113,Value!$B$26:$C$29,2,0)</f>
        <v>Chốt lời cố định theo tỷ lệ R (Risk-Reward).</v>
      </c>
      <c r="P113" s="1" t="str">
        <f>VLOOKUP(L113,Value!$B$34:$C$37,2,0)</f>
        <v>Tắt tính năng Trailing Stop (Bám đuôi).</v>
      </c>
    </row>
    <row r="114" spans="1:16" ht="20.149999999999999" customHeight="1" x14ac:dyDescent="0.3">
      <c r="A114" s="2">
        <v>112</v>
      </c>
      <c r="B114" s="1" t="s">
        <v>16</v>
      </c>
      <c r="C114" s="1" t="s">
        <v>12</v>
      </c>
      <c r="D114" s="1" t="s">
        <v>16</v>
      </c>
      <c r="E114" s="2">
        <v>1</v>
      </c>
      <c r="F114" s="2" t="s">
        <v>19</v>
      </c>
      <c r="G114" s="2">
        <v>0</v>
      </c>
      <c r="H114" s="2">
        <v>0</v>
      </c>
      <c r="I114" s="2">
        <v>0</v>
      </c>
      <c r="J114" s="2" t="s">
        <v>13</v>
      </c>
      <c r="K114" s="2" t="s">
        <v>21</v>
      </c>
      <c r="L114" s="2" t="s">
        <v>37</v>
      </c>
      <c r="M114" s="2" t="s">
        <v>56</v>
      </c>
      <c r="N114" s="1" t="str">
        <f>_xlfn.CONCAT(A114, "-",VLOOKUP(E114,Value!$B$2:$C$8,2,0),"TP: ",J114,K114)</f>
        <v>112-Buy Limit tại mép Buy Zone M1 Major, Cắt lỗ ở đáy Major.TP: FIXED_R2.0</v>
      </c>
      <c r="O114" s="1" t="str">
        <f>VLOOKUP(J114,Value!$B$26:$C$29,2,0)</f>
        <v>Chốt lời cố định theo tỷ lệ R (Risk-Reward).</v>
      </c>
      <c r="P114" s="1" t="str">
        <f>VLOOKUP(L114,Value!$B$34:$C$37,2,0)</f>
        <v>Tắt tính năng Trailing Stop (Bám đuôi).</v>
      </c>
    </row>
    <row r="115" spans="1:16" ht="20.149999999999999" customHeight="1" x14ac:dyDescent="0.3">
      <c r="A115" s="2">
        <v>113</v>
      </c>
      <c r="B115" s="1" t="s">
        <v>16</v>
      </c>
      <c r="C115" s="1" t="s">
        <v>12</v>
      </c>
      <c r="D115" s="1" t="s">
        <v>17</v>
      </c>
      <c r="E115" s="2">
        <v>1</v>
      </c>
      <c r="F115" s="2" t="s">
        <v>19</v>
      </c>
      <c r="G115" s="2">
        <v>0</v>
      </c>
      <c r="H115" s="2">
        <v>0</v>
      </c>
      <c r="I115" s="2">
        <v>0</v>
      </c>
      <c r="J115" s="2" t="s">
        <v>13</v>
      </c>
      <c r="K115" s="2" t="s">
        <v>21</v>
      </c>
      <c r="L115" s="2" t="s">
        <v>37</v>
      </c>
      <c r="M115" s="2" t="s">
        <v>56</v>
      </c>
      <c r="N115" s="1" t="str">
        <f>_xlfn.CONCAT(A115, "-",VLOOKUP(E115,Value!$B$2:$C$8,2,0),"TP: ",J115,K115)</f>
        <v>113-Buy Limit tại mép Buy Zone M1 Major, Cắt lỗ ở đáy Major.TP: FIXED_R2.0</v>
      </c>
      <c r="O115" s="1" t="str">
        <f>VLOOKUP(J115,Value!$B$26:$C$29,2,0)</f>
        <v>Chốt lời cố định theo tỷ lệ R (Risk-Reward).</v>
      </c>
      <c r="P115" s="1" t="str">
        <f>VLOOKUP(L115,Value!$B$34:$C$37,2,0)</f>
        <v>Tắt tính năng Trailing Stop (Bám đuôi).</v>
      </c>
    </row>
    <row r="116" spans="1:16" ht="20.149999999999999" customHeight="1" x14ac:dyDescent="0.3">
      <c r="A116" s="2">
        <v>114</v>
      </c>
      <c r="B116" s="1" t="s">
        <v>16</v>
      </c>
      <c r="C116" s="1" t="s">
        <v>12</v>
      </c>
      <c r="D116" s="1" t="s">
        <v>18</v>
      </c>
      <c r="E116" s="2">
        <v>1</v>
      </c>
      <c r="F116" s="2" t="s">
        <v>19</v>
      </c>
      <c r="G116" s="2">
        <v>0</v>
      </c>
      <c r="H116" s="2">
        <v>0</v>
      </c>
      <c r="I116" s="2">
        <v>0</v>
      </c>
      <c r="J116" s="2" t="s">
        <v>13</v>
      </c>
      <c r="K116" s="2" t="s">
        <v>21</v>
      </c>
      <c r="L116" s="2" t="s">
        <v>37</v>
      </c>
      <c r="M116" s="2" t="s">
        <v>56</v>
      </c>
      <c r="N116" s="1" t="str">
        <f>_xlfn.CONCAT(A116, "-",VLOOKUP(E116,Value!$B$2:$C$8,2,0),"TP: ",J116,K116)</f>
        <v>114-Buy Limit tại mép Buy Zone M1 Major, Cắt lỗ ở đáy Major.TP: FIXED_R2.0</v>
      </c>
      <c r="O116" s="1" t="str">
        <f>VLOOKUP(J116,Value!$B$26:$C$29,2,0)</f>
        <v>Chốt lời cố định theo tỷ lệ R (Risk-Reward).</v>
      </c>
      <c r="P116" s="1" t="str">
        <f>VLOOKUP(L116,Value!$B$34:$C$37,2,0)</f>
        <v>Tắt tính năng Trailing Stop (Bám đuôi).</v>
      </c>
    </row>
    <row r="117" spans="1:16" ht="20.149999999999999" customHeight="1" x14ac:dyDescent="0.3">
      <c r="A117" s="2">
        <v>115</v>
      </c>
      <c r="B117" s="1" t="s">
        <v>16</v>
      </c>
      <c r="C117" s="1" t="s">
        <v>14</v>
      </c>
      <c r="D117" s="1" t="s">
        <v>12</v>
      </c>
      <c r="E117" s="2">
        <v>0</v>
      </c>
      <c r="F117" s="2" t="s">
        <v>19</v>
      </c>
      <c r="G117" s="2">
        <v>0</v>
      </c>
      <c r="H117" s="2">
        <v>0</v>
      </c>
      <c r="I117" s="2">
        <v>0</v>
      </c>
      <c r="J117" s="2" t="s">
        <v>13</v>
      </c>
      <c r="K117" s="2" t="s">
        <v>21</v>
      </c>
      <c r="L117" s="2" t="s">
        <v>37</v>
      </c>
      <c r="M117" s="2" t="s">
        <v>56</v>
      </c>
      <c r="N117" s="1" t="str">
        <f>_xlfn.CONCAT(A117, "-",VLOOKUP(E117,Value!$B$2:$C$8,2,0),"TP: ",J117,K117)</f>
        <v>115-Đứng ngoàiTP: FIXED_R2.0</v>
      </c>
      <c r="O117" s="1" t="str">
        <f>VLOOKUP(J117,Value!$B$26:$C$29,2,0)</f>
        <v>Chốt lời cố định theo tỷ lệ R (Risk-Reward).</v>
      </c>
      <c r="P117" s="1" t="str">
        <f>VLOOKUP(L117,Value!$B$34:$C$37,2,0)</f>
        <v>Tắt tính năng Trailing Stop (Bám đuôi).</v>
      </c>
    </row>
    <row r="118" spans="1:16" ht="20.149999999999999" customHeight="1" x14ac:dyDescent="0.3">
      <c r="A118" s="2">
        <v>116</v>
      </c>
      <c r="B118" s="1" t="s">
        <v>16</v>
      </c>
      <c r="C118" s="1" t="s">
        <v>14</v>
      </c>
      <c r="D118" s="1" t="s">
        <v>14</v>
      </c>
      <c r="E118" s="2">
        <v>0</v>
      </c>
      <c r="F118" s="2" t="s">
        <v>19</v>
      </c>
      <c r="G118" s="2">
        <v>0</v>
      </c>
      <c r="H118" s="2">
        <v>0</v>
      </c>
      <c r="I118" s="2">
        <v>0</v>
      </c>
      <c r="J118" s="2" t="s">
        <v>13</v>
      </c>
      <c r="K118" s="2" t="s">
        <v>21</v>
      </c>
      <c r="L118" s="2" t="s">
        <v>37</v>
      </c>
      <c r="M118" s="2" t="s">
        <v>56</v>
      </c>
      <c r="N118" s="1" t="str">
        <f>_xlfn.CONCAT(A118, "-",VLOOKUP(E118,Value!$B$2:$C$8,2,0),"TP: ",J118,K118)</f>
        <v>116-Đứng ngoàiTP: FIXED_R2.0</v>
      </c>
      <c r="O118" s="1" t="str">
        <f>VLOOKUP(J118,Value!$B$26:$C$29,2,0)</f>
        <v>Chốt lời cố định theo tỷ lệ R (Risk-Reward).</v>
      </c>
      <c r="P118" s="1" t="str">
        <f>VLOOKUP(L118,Value!$B$34:$C$37,2,0)</f>
        <v>Tắt tính năng Trailing Stop (Bám đuôi).</v>
      </c>
    </row>
    <row r="119" spans="1:16" ht="20.149999999999999" customHeight="1" x14ac:dyDescent="0.3">
      <c r="A119" s="2">
        <v>117</v>
      </c>
      <c r="B119" s="1" t="s">
        <v>16</v>
      </c>
      <c r="C119" s="1" t="s">
        <v>14</v>
      </c>
      <c r="D119" s="1" t="s">
        <v>15</v>
      </c>
      <c r="E119" s="2">
        <v>0</v>
      </c>
      <c r="F119" s="2" t="s">
        <v>19</v>
      </c>
      <c r="G119" s="2">
        <v>0</v>
      </c>
      <c r="H119" s="2">
        <v>0</v>
      </c>
      <c r="I119" s="2">
        <v>0</v>
      </c>
      <c r="J119" s="2" t="s">
        <v>13</v>
      </c>
      <c r="K119" s="2" t="s">
        <v>21</v>
      </c>
      <c r="L119" s="2" t="s">
        <v>37</v>
      </c>
      <c r="M119" s="2" t="s">
        <v>56</v>
      </c>
      <c r="N119" s="1" t="str">
        <f>_xlfn.CONCAT(A119, "-",VLOOKUP(E119,Value!$B$2:$C$8,2,0),"TP: ",J119,K119)</f>
        <v>117-Đứng ngoàiTP: FIXED_R2.0</v>
      </c>
      <c r="O119" s="1" t="str">
        <f>VLOOKUP(J119,Value!$B$26:$C$29,2,0)</f>
        <v>Chốt lời cố định theo tỷ lệ R (Risk-Reward).</v>
      </c>
      <c r="P119" s="1" t="str">
        <f>VLOOKUP(L119,Value!$B$34:$C$37,2,0)</f>
        <v>Tắt tính năng Trailing Stop (Bám đuôi).</v>
      </c>
    </row>
    <row r="120" spans="1:16" ht="20.149999999999999" customHeight="1" x14ac:dyDescent="0.3">
      <c r="A120" s="2">
        <v>118</v>
      </c>
      <c r="B120" s="1" t="s">
        <v>16</v>
      </c>
      <c r="C120" s="1" t="s">
        <v>14</v>
      </c>
      <c r="D120" s="1" t="s">
        <v>16</v>
      </c>
      <c r="E120" s="2">
        <v>0</v>
      </c>
      <c r="F120" s="2" t="s">
        <v>19</v>
      </c>
      <c r="G120" s="2">
        <v>0</v>
      </c>
      <c r="H120" s="2">
        <v>0</v>
      </c>
      <c r="I120" s="2">
        <v>0</v>
      </c>
      <c r="J120" s="2" t="s">
        <v>13</v>
      </c>
      <c r="K120" s="2" t="s">
        <v>21</v>
      </c>
      <c r="L120" s="2" t="s">
        <v>37</v>
      </c>
      <c r="M120" s="2" t="s">
        <v>56</v>
      </c>
      <c r="N120" s="1" t="str">
        <f>_xlfn.CONCAT(A120, "-",VLOOKUP(E120,Value!$B$2:$C$8,2,0),"TP: ",J120,K120)</f>
        <v>118-Đứng ngoàiTP: FIXED_R2.0</v>
      </c>
      <c r="O120" s="1" t="str">
        <f>VLOOKUP(J120,Value!$B$26:$C$29,2,0)</f>
        <v>Chốt lời cố định theo tỷ lệ R (Risk-Reward).</v>
      </c>
      <c r="P120" s="1" t="str">
        <f>VLOOKUP(L120,Value!$B$34:$C$37,2,0)</f>
        <v>Tắt tính năng Trailing Stop (Bám đuôi).</v>
      </c>
    </row>
    <row r="121" spans="1:16" ht="20.149999999999999" customHeight="1" x14ac:dyDescent="0.3">
      <c r="A121" s="2">
        <v>119</v>
      </c>
      <c r="B121" s="1" t="s">
        <v>16</v>
      </c>
      <c r="C121" s="1" t="s">
        <v>14</v>
      </c>
      <c r="D121" s="1" t="s">
        <v>17</v>
      </c>
      <c r="E121" s="2">
        <v>0</v>
      </c>
      <c r="F121" s="2" t="s">
        <v>19</v>
      </c>
      <c r="G121" s="2">
        <v>0</v>
      </c>
      <c r="H121" s="2">
        <v>0</v>
      </c>
      <c r="I121" s="2">
        <v>0</v>
      </c>
      <c r="J121" s="2" t="s">
        <v>13</v>
      </c>
      <c r="K121" s="2" t="s">
        <v>21</v>
      </c>
      <c r="L121" s="2" t="s">
        <v>37</v>
      </c>
      <c r="M121" s="2" t="s">
        <v>56</v>
      </c>
      <c r="N121" s="1" t="str">
        <f>_xlfn.CONCAT(A121, "-",VLOOKUP(E121,Value!$B$2:$C$8,2,0),"TP: ",J121,K121)</f>
        <v>119-Đứng ngoàiTP: FIXED_R2.0</v>
      </c>
      <c r="O121" s="1" t="str">
        <f>VLOOKUP(J121,Value!$B$26:$C$29,2,0)</f>
        <v>Chốt lời cố định theo tỷ lệ R (Risk-Reward).</v>
      </c>
      <c r="P121" s="1" t="str">
        <f>VLOOKUP(L121,Value!$B$34:$C$37,2,0)</f>
        <v>Tắt tính năng Trailing Stop (Bám đuôi).</v>
      </c>
    </row>
    <row r="122" spans="1:16" ht="20.149999999999999" customHeight="1" x14ac:dyDescent="0.3">
      <c r="A122" s="2">
        <v>120</v>
      </c>
      <c r="B122" s="1" t="s">
        <v>16</v>
      </c>
      <c r="C122" s="1" t="s">
        <v>14</v>
      </c>
      <c r="D122" s="1" t="s">
        <v>18</v>
      </c>
      <c r="E122" s="2">
        <v>0</v>
      </c>
      <c r="F122" s="2" t="s">
        <v>19</v>
      </c>
      <c r="G122" s="2">
        <v>0</v>
      </c>
      <c r="H122" s="2">
        <v>0</v>
      </c>
      <c r="I122" s="2">
        <v>0</v>
      </c>
      <c r="J122" s="2" t="s">
        <v>13</v>
      </c>
      <c r="K122" s="2" t="s">
        <v>21</v>
      </c>
      <c r="L122" s="2" t="s">
        <v>37</v>
      </c>
      <c r="M122" s="2" t="s">
        <v>56</v>
      </c>
      <c r="N122" s="1" t="str">
        <f>_xlfn.CONCAT(A122, "-",VLOOKUP(E122,Value!$B$2:$C$8,2,0),"TP: ",J122,K122)</f>
        <v>120-Đứng ngoàiTP: FIXED_R2.0</v>
      </c>
      <c r="O122" s="1" t="str">
        <f>VLOOKUP(J122,Value!$B$26:$C$29,2,0)</f>
        <v>Chốt lời cố định theo tỷ lệ R (Risk-Reward).</v>
      </c>
      <c r="P122" s="1" t="str">
        <f>VLOOKUP(L122,Value!$B$34:$C$37,2,0)</f>
        <v>Tắt tính năng Trailing Stop (Bám đuôi).</v>
      </c>
    </row>
    <row r="123" spans="1:16" ht="20.149999999999999" customHeight="1" x14ac:dyDescent="0.3">
      <c r="A123" s="2">
        <v>121</v>
      </c>
      <c r="B123" s="1" t="s">
        <v>16</v>
      </c>
      <c r="C123" s="1" t="s">
        <v>15</v>
      </c>
      <c r="D123" s="1" t="s">
        <v>12</v>
      </c>
      <c r="E123" s="2">
        <v>2</v>
      </c>
      <c r="F123" s="2" t="s">
        <v>19</v>
      </c>
      <c r="G123" s="2">
        <v>0</v>
      </c>
      <c r="H123" s="2">
        <v>0</v>
      </c>
      <c r="I123" s="2">
        <v>0</v>
      </c>
      <c r="J123" s="2" t="s">
        <v>13</v>
      </c>
      <c r="K123" s="2" t="s">
        <v>21</v>
      </c>
      <c r="L123" s="2" t="s">
        <v>37</v>
      </c>
      <c r="M123" s="2" t="s">
        <v>56</v>
      </c>
      <c r="N123" s="1" t="str">
        <f>_xlfn.CONCAT(A123, "-",VLOOKUP(E123,Value!$B$2:$C$8,2,0),"TP: ",J123,K123)</f>
        <v>121-Sell Limit tại mép Sell Zone M1 Major, Cắt lỗ ở đỉnh Major.TP: FIXED_R2.0</v>
      </c>
      <c r="O123" s="1" t="str">
        <f>VLOOKUP(J123,Value!$B$26:$C$29,2,0)</f>
        <v>Chốt lời cố định theo tỷ lệ R (Risk-Reward).</v>
      </c>
      <c r="P123" s="1" t="str">
        <f>VLOOKUP(L123,Value!$B$34:$C$37,2,0)</f>
        <v>Tắt tính năng Trailing Stop (Bám đuôi).</v>
      </c>
    </row>
    <row r="124" spans="1:16" ht="20.149999999999999" customHeight="1" x14ac:dyDescent="0.3">
      <c r="A124" s="2">
        <v>122</v>
      </c>
      <c r="B124" s="1" t="s">
        <v>16</v>
      </c>
      <c r="C124" s="1" t="s">
        <v>15</v>
      </c>
      <c r="D124" s="1" t="s">
        <v>14</v>
      </c>
      <c r="E124" s="2">
        <v>2</v>
      </c>
      <c r="F124" s="2" t="s">
        <v>19</v>
      </c>
      <c r="G124" s="2">
        <v>0</v>
      </c>
      <c r="H124" s="2">
        <v>0</v>
      </c>
      <c r="I124" s="2">
        <v>0</v>
      </c>
      <c r="J124" s="2" t="s">
        <v>13</v>
      </c>
      <c r="K124" s="2" t="s">
        <v>21</v>
      </c>
      <c r="L124" s="2" t="s">
        <v>37</v>
      </c>
      <c r="M124" s="2" t="s">
        <v>56</v>
      </c>
      <c r="N124" s="1" t="str">
        <f>_xlfn.CONCAT(A124, "-",VLOOKUP(E124,Value!$B$2:$C$8,2,0),"TP: ",J124,K124)</f>
        <v>122-Sell Limit tại mép Sell Zone M1 Major, Cắt lỗ ở đỉnh Major.TP: FIXED_R2.0</v>
      </c>
      <c r="O124" s="1" t="str">
        <f>VLOOKUP(J124,Value!$B$26:$C$29,2,0)</f>
        <v>Chốt lời cố định theo tỷ lệ R (Risk-Reward).</v>
      </c>
      <c r="P124" s="1" t="str">
        <f>VLOOKUP(L124,Value!$B$34:$C$37,2,0)</f>
        <v>Tắt tính năng Trailing Stop (Bám đuôi).</v>
      </c>
    </row>
    <row r="125" spans="1:16" ht="20.149999999999999" customHeight="1" x14ac:dyDescent="0.3">
      <c r="A125" s="2">
        <v>123</v>
      </c>
      <c r="B125" s="1" t="s">
        <v>16</v>
      </c>
      <c r="C125" s="1" t="s">
        <v>15</v>
      </c>
      <c r="D125" s="1" t="s">
        <v>15</v>
      </c>
      <c r="E125" s="2">
        <v>2</v>
      </c>
      <c r="F125" s="2" t="s">
        <v>19</v>
      </c>
      <c r="G125" s="2">
        <v>0</v>
      </c>
      <c r="H125" s="2">
        <v>0</v>
      </c>
      <c r="I125" s="2">
        <v>0</v>
      </c>
      <c r="J125" s="2" t="s">
        <v>13</v>
      </c>
      <c r="K125" s="2" t="s">
        <v>21</v>
      </c>
      <c r="L125" s="2" t="s">
        <v>37</v>
      </c>
      <c r="M125" s="2" t="s">
        <v>56</v>
      </c>
      <c r="N125" s="1" t="str">
        <f>_xlfn.CONCAT(A125, "-",VLOOKUP(E125,Value!$B$2:$C$8,2,0),"TP: ",J125,K125)</f>
        <v>123-Sell Limit tại mép Sell Zone M1 Major, Cắt lỗ ở đỉnh Major.TP: FIXED_R2.0</v>
      </c>
      <c r="O125" s="1" t="str">
        <f>VLOOKUP(J125,Value!$B$26:$C$29,2,0)</f>
        <v>Chốt lời cố định theo tỷ lệ R (Risk-Reward).</v>
      </c>
      <c r="P125" s="1" t="str">
        <f>VLOOKUP(L125,Value!$B$34:$C$37,2,0)</f>
        <v>Tắt tính năng Trailing Stop (Bám đuôi).</v>
      </c>
    </row>
    <row r="126" spans="1:16" ht="20.149999999999999" customHeight="1" x14ac:dyDescent="0.3">
      <c r="A126" s="2">
        <v>124</v>
      </c>
      <c r="B126" s="1" t="s">
        <v>16</v>
      </c>
      <c r="C126" s="1" t="s">
        <v>15</v>
      </c>
      <c r="D126" s="1" t="s">
        <v>16</v>
      </c>
      <c r="E126" s="2">
        <v>2</v>
      </c>
      <c r="F126" s="2" t="s">
        <v>19</v>
      </c>
      <c r="G126" s="2">
        <v>0</v>
      </c>
      <c r="H126" s="2">
        <v>0</v>
      </c>
      <c r="I126" s="2">
        <v>0</v>
      </c>
      <c r="J126" s="2" t="s">
        <v>13</v>
      </c>
      <c r="K126" s="2" t="s">
        <v>21</v>
      </c>
      <c r="L126" s="2" t="s">
        <v>37</v>
      </c>
      <c r="M126" s="2" t="s">
        <v>56</v>
      </c>
      <c r="N126" s="1" t="str">
        <f>_xlfn.CONCAT(A126, "-",VLOOKUP(E126,Value!$B$2:$C$8,2,0),"TP: ",J126,K126)</f>
        <v>124-Sell Limit tại mép Sell Zone M1 Major, Cắt lỗ ở đỉnh Major.TP: FIXED_R2.0</v>
      </c>
      <c r="O126" s="1" t="str">
        <f>VLOOKUP(J126,Value!$B$26:$C$29,2,0)</f>
        <v>Chốt lời cố định theo tỷ lệ R (Risk-Reward).</v>
      </c>
      <c r="P126" s="1" t="str">
        <f>VLOOKUP(L126,Value!$B$34:$C$37,2,0)</f>
        <v>Tắt tính năng Trailing Stop (Bám đuôi).</v>
      </c>
    </row>
    <row r="127" spans="1:16" ht="20.149999999999999" customHeight="1" x14ac:dyDescent="0.3">
      <c r="A127" s="2">
        <v>125</v>
      </c>
      <c r="B127" s="1" t="s">
        <v>16</v>
      </c>
      <c r="C127" s="1" t="s">
        <v>15</v>
      </c>
      <c r="D127" s="1" t="s">
        <v>17</v>
      </c>
      <c r="E127" s="2">
        <v>2</v>
      </c>
      <c r="F127" s="2" t="s">
        <v>19</v>
      </c>
      <c r="G127" s="2">
        <v>0</v>
      </c>
      <c r="H127" s="2">
        <v>0</v>
      </c>
      <c r="I127" s="2">
        <v>0</v>
      </c>
      <c r="J127" s="2" t="s">
        <v>13</v>
      </c>
      <c r="K127" s="2" t="s">
        <v>21</v>
      </c>
      <c r="L127" s="2" t="s">
        <v>37</v>
      </c>
      <c r="M127" s="2" t="s">
        <v>56</v>
      </c>
      <c r="N127" s="1" t="str">
        <f>_xlfn.CONCAT(A127, "-",VLOOKUP(E127,Value!$B$2:$C$8,2,0),"TP: ",J127,K127)</f>
        <v>125-Sell Limit tại mép Sell Zone M1 Major, Cắt lỗ ở đỉnh Major.TP: FIXED_R2.0</v>
      </c>
      <c r="O127" s="1" t="str">
        <f>VLOOKUP(J127,Value!$B$26:$C$29,2,0)</f>
        <v>Chốt lời cố định theo tỷ lệ R (Risk-Reward).</v>
      </c>
      <c r="P127" s="1" t="str">
        <f>VLOOKUP(L127,Value!$B$34:$C$37,2,0)</f>
        <v>Tắt tính năng Trailing Stop (Bám đuôi).</v>
      </c>
    </row>
    <row r="128" spans="1:16" ht="20.149999999999999" customHeight="1" x14ac:dyDescent="0.3">
      <c r="A128" s="2">
        <v>126</v>
      </c>
      <c r="B128" s="1" t="s">
        <v>16</v>
      </c>
      <c r="C128" s="1" t="s">
        <v>15</v>
      </c>
      <c r="D128" s="1" t="s">
        <v>18</v>
      </c>
      <c r="E128" s="2">
        <v>2</v>
      </c>
      <c r="F128" s="2" t="s">
        <v>19</v>
      </c>
      <c r="G128" s="2">
        <v>0</v>
      </c>
      <c r="H128" s="2">
        <v>0</v>
      </c>
      <c r="I128" s="2">
        <v>0</v>
      </c>
      <c r="J128" s="2" t="s">
        <v>13</v>
      </c>
      <c r="K128" s="2" t="s">
        <v>21</v>
      </c>
      <c r="L128" s="2" t="s">
        <v>37</v>
      </c>
      <c r="M128" s="2" t="s">
        <v>56</v>
      </c>
      <c r="N128" s="1" t="str">
        <f>_xlfn.CONCAT(A128, "-",VLOOKUP(E128,Value!$B$2:$C$8,2,0),"TP: ",J128,K128)</f>
        <v>126-Sell Limit tại mép Sell Zone M1 Major, Cắt lỗ ở đỉnh Major.TP: FIXED_R2.0</v>
      </c>
      <c r="O128" s="1" t="str">
        <f>VLOOKUP(J128,Value!$B$26:$C$29,2,0)</f>
        <v>Chốt lời cố định theo tỷ lệ R (Risk-Reward).</v>
      </c>
      <c r="P128" s="1" t="str">
        <f>VLOOKUP(L128,Value!$B$34:$C$37,2,0)</f>
        <v>Tắt tính năng Trailing Stop (Bám đuôi).</v>
      </c>
    </row>
    <row r="129" spans="1:16" ht="20.149999999999999" customHeight="1" x14ac:dyDescent="0.3">
      <c r="A129" s="2">
        <v>127</v>
      </c>
      <c r="B129" s="1" t="s">
        <v>16</v>
      </c>
      <c r="C129" s="1" t="s">
        <v>16</v>
      </c>
      <c r="D129" s="1" t="s">
        <v>12</v>
      </c>
      <c r="E129" s="2">
        <v>2</v>
      </c>
      <c r="F129" s="2" t="s">
        <v>19</v>
      </c>
      <c r="G129" s="2">
        <v>0</v>
      </c>
      <c r="H129" s="2">
        <v>0</v>
      </c>
      <c r="I129" s="2">
        <v>0</v>
      </c>
      <c r="J129" s="2" t="s">
        <v>13</v>
      </c>
      <c r="K129" s="2" t="s">
        <v>21</v>
      </c>
      <c r="L129" s="2" t="s">
        <v>37</v>
      </c>
      <c r="M129" s="2" t="s">
        <v>56</v>
      </c>
      <c r="N129" s="1" t="str">
        <f>_xlfn.CONCAT(A129, "-",VLOOKUP(E129,Value!$B$2:$C$8,2,0),"TP: ",J129,K129)</f>
        <v>127-Sell Limit tại mép Sell Zone M1 Major, Cắt lỗ ở đỉnh Major.TP: FIXED_R2.0</v>
      </c>
      <c r="O129" s="1" t="str">
        <f>VLOOKUP(J129,Value!$B$26:$C$29,2,0)</f>
        <v>Chốt lời cố định theo tỷ lệ R (Risk-Reward).</v>
      </c>
      <c r="P129" s="1" t="str">
        <f>VLOOKUP(L129,Value!$B$34:$C$37,2,0)</f>
        <v>Tắt tính năng Trailing Stop (Bám đuôi).</v>
      </c>
    </row>
    <row r="130" spans="1:16" ht="20.149999999999999" customHeight="1" x14ac:dyDescent="0.3">
      <c r="A130" s="2">
        <v>128</v>
      </c>
      <c r="B130" s="1" t="s">
        <v>16</v>
      </c>
      <c r="C130" s="1" t="s">
        <v>16</v>
      </c>
      <c r="D130" s="1" t="s">
        <v>14</v>
      </c>
      <c r="E130" s="2">
        <v>2</v>
      </c>
      <c r="F130" s="2" t="s">
        <v>19</v>
      </c>
      <c r="G130" s="2">
        <v>0</v>
      </c>
      <c r="H130" s="2">
        <v>0</v>
      </c>
      <c r="I130" s="2">
        <v>0</v>
      </c>
      <c r="J130" s="2" t="s">
        <v>13</v>
      </c>
      <c r="K130" s="2" t="s">
        <v>21</v>
      </c>
      <c r="L130" s="2" t="s">
        <v>37</v>
      </c>
      <c r="M130" s="2" t="s">
        <v>56</v>
      </c>
      <c r="N130" s="1" t="str">
        <f>_xlfn.CONCAT(A130, "-",VLOOKUP(E130,Value!$B$2:$C$8,2,0),"TP: ",J130,K130)</f>
        <v>128-Sell Limit tại mép Sell Zone M1 Major, Cắt lỗ ở đỉnh Major.TP: FIXED_R2.0</v>
      </c>
      <c r="O130" s="1" t="str">
        <f>VLOOKUP(J130,Value!$B$26:$C$29,2,0)</f>
        <v>Chốt lời cố định theo tỷ lệ R (Risk-Reward).</v>
      </c>
      <c r="P130" s="1" t="str">
        <f>VLOOKUP(L130,Value!$B$34:$C$37,2,0)</f>
        <v>Tắt tính năng Trailing Stop (Bám đuôi).</v>
      </c>
    </row>
    <row r="131" spans="1:16" ht="20.149999999999999" customHeight="1" x14ac:dyDescent="0.3">
      <c r="A131" s="2">
        <v>129</v>
      </c>
      <c r="B131" s="1" t="s">
        <v>16</v>
      </c>
      <c r="C131" s="1" t="s">
        <v>16</v>
      </c>
      <c r="D131" s="1" t="s">
        <v>15</v>
      </c>
      <c r="E131" s="2">
        <v>2</v>
      </c>
      <c r="F131" s="2" t="s">
        <v>19</v>
      </c>
      <c r="G131" s="2">
        <v>0</v>
      </c>
      <c r="H131" s="2">
        <v>0</v>
      </c>
      <c r="I131" s="2">
        <v>0</v>
      </c>
      <c r="J131" s="2" t="s">
        <v>13</v>
      </c>
      <c r="K131" s="2" t="s">
        <v>21</v>
      </c>
      <c r="L131" s="2" t="s">
        <v>37</v>
      </c>
      <c r="M131" s="2" t="s">
        <v>56</v>
      </c>
      <c r="N131" s="1" t="str">
        <f>_xlfn.CONCAT(A131, "-",VLOOKUP(E131,Value!$B$2:$C$8,2,0),"TP: ",J131,K131)</f>
        <v>129-Sell Limit tại mép Sell Zone M1 Major, Cắt lỗ ở đỉnh Major.TP: FIXED_R2.0</v>
      </c>
      <c r="O131" s="1" t="str">
        <f>VLOOKUP(J131,Value!$B$26:$C$29,2,0)</f>
        <v>Chốt lời cố định theo tỷ lệ R (Risk-Reward).</v>
      </c>
      <c r="P131" s="1" t="str">
        <f>VLOOKUP(L131,Value!$B$34:$C$37,2,0)</f>
        <v>Tắt tính năng Trailing Stop (Bám đuôi).</v>
      </c>
    </row>
    <row r="132" spans="1:16" ht="20.149999999999999" customHeight="1" x14ac:dyDescent="0.3">
      <c r="A132" s="2">
        <v>130</v>
      </c>
      <c r="B132" s="1" t="s">
        <v>16</v>
      </c>
      <c r="C132" s="1" t="s">
        <v>16</v>
      </c>
      <c r="D132" s="1" t="s">
        <v>16</v>
      </c>
      <c r="E132" s="2">
        <v>2</v>
      </c>
      <c r="F132" s="2" t="s">
        <v>19</v>
      </c>
      <c r="G132" s="2">
        <v>0</v>
      </c>
      <c r="H132" s="2">
        <v>0</v>
      </c>
      <c r="I132" s="2">
        <v>0</v>
      </c>
      <c r="J132" s="2" t="s">
        <v>13</v>
      </c>
      <c r="K132" s="2" t="s">
        <v>21</v>
      </c>
      <c r="L132" s="2" t="s">
        <v>37</v>
      </c>
      <c r="M132" s="2" t="s">
        <v>56</v>
      </c>
      <c r="N132" s="1" t="str">
        <f>_xlfn.CONCAT(A132, "-",VLOOKUP(E132,Value!$B$2:$C$8,2,0),"TP: ",J132,K132)</f>
        <v>130-Sell Limit tại mép Sell Zone M1 Major, Cắt lỗ ở đỉnh Major.TP: FIXED_R2.0</v>
      </c>
      <c r="O132" s="1" t="str">
        <f>VLOOKUP(J132,Value!$B$26:$C$29,2,0)</f>
        <v>Chốt lời cố định theo tỷ lệ R (Risk-Reward).</v>
      </c>
      <c r="P132" s="1" t="str">
        <f>VLOOKUP(L132,Value!$B$34:$C$37,2,0)</f>
        <v>Tắt tính năng Trailing Stop (Bám đuôi).</v>
      </c>
    </row>
    <row r="133" spans="1:16" ht="20.149999999999999" customHeight="1" x14ac:dyDescent="0.3">
      <c r="A133" s="2">
        <v>131</v>
      </c>
      <c r="B133" s="1" t="s">
        <v>16</v>
      </c>
      <c r="C133" s="1" t="s">
        <v>16</v>
      </c>
      <c r="D133" s="1" t="s">
        <v>17</v>
      </c>
      <c r="E133" s="2">
        <v>2</v>
      </c>
      <c r="F133" s="2" t="s">
        <v>19</v>
      </c>
      <c r="G133" s="2">
        <v>0</v>
      </c>
      <c r="H133" s="2">
        <v>0</v>
      </c>
      <c r="I133" s="2">
        <v>0</v>
      </c>
      <c r="J133" s="2" t="s">
        <v>13</v>
      </c>
      <c r="K133" s="2" t="s">
        <v>21</v>
      </c>
      <c r="L133" s="2" t="s">
        <v>37</v>
      </c>
      <c r="M133" s="2" t="s">
        <v>56</v>
      </c>
      <c r="N133" s="1" t="str">
        <f>_xlfn.CONCAT(A133, "-",VLOOKUP(E133,Value!$B$2:$C$8,2,0),"TP: ",J133,K133)</f>
        <v>131-Sell Limit tại mép Sell Zone M1 Major, Cắt lỗ ở đỉnh Major.TP: FIXED_R2.0</v>
      </c>
      <c r="O133" s="1" t="str">
        <f>VLOOKUP(J133,Value!$B$26:$C$29,2,0)</f>
        <v>Chốt lời cố định theo tỷ lệ R (Risk-Reward).</v>
      </c>
      <c r="P133" s="1" t="str">
        <f>VLOOKUP(L133,Value!$B$34:$C$37,2,0)</f>
        <v>Tắt tính năng Trailing Stop (Bám đuôi).</v>
      </c>
    </row>
    <row r="134" spans="1:16" ht="20.149999999999999" customHeight="1" x14ac:dyDescent="0.3">
      <c r="A134" s="2">
        <v>132</v>
      </c>
      <c r="B134" s="1" t="s">
        <v>16</v>
      </c>
      <c r="C134" s="1" t="s">
        <v>16</v>
      </c>
      <c r="D134" s="1" t="s">
        <v>18</v>
      </c>
      <c r="E134" s="2">
        <v>2</v>
      </c>
      <c r="F134" s="2" t="s">
        <v>19</v>
      </c>
      <c r="G134" s="2">
        <v>0</v>
      </c>
      <c r="H134" s="2">
        <v>0</v>
      </c>
      <c r="I134" s="2">
        <v>0</v>
      </c>
      <c r="J134" s="2" t="s">
        <v>13</v>
      </c>
      <c r="K134" s="2" t="s">
        <v>21</v>
      </c>
      <c r="L134" s="2" t="s">
        <v>37</v>
      </c>
      <c r="M134" s="2" t="s">
        <v>56</v>
      </c>
      <c r="N134" s="1" t="str">
        <f>_xlfn.CONCAT(A134, "-",VLOOKUP(E134,Value!$B$2:$C$8,2,0),"TP: ",J134,K134)</f>
        <v>132-Sell Limit tại mép Sell Zone M1 Major, Cắt lỗ ở đỉnh Major.TP: FIXED_R2.0</v>
      </c>
      <c r="O134" s="1" t="str">
        <f>VLOOKUP(J134,Value!$B$26:$C$29,2,0)</f>
        <v>Chốt lời cố định theo tỷ lệ R (Risk-Reward).</v>
      </c>
      <c r="P134" s="1" t="str">
        <f>VLOOKUP(L134,Value!$B$34:$C$37,2,0)</f>
        <v>Tắt tính năng Trailing Stop (Bám đuôi).</v>
      </c>
    </row>
    <row r="135" spans="1:16" ht="20.149999999999999" customHeight="1" x14ac:dyDescent="0.3">
      <c r="A135" s="2">
        <v>133</v>
      </c>
      <c r="B135" s="1" t="s">
        <v>16</v>
      </c>
      <c r="C135" s="1" t="s">
        <v>17</v>
      </c>
      <c r="D135" s="1" t="s">
        <v>12</v>
      </c>
      <c r="E135" s="2">
        <v>0</v>
      </c>
      <c r="F135" s="2" t="s">
        <v>19</v>
      </c>
      <c r="G135" s="2">
        <v>0</v>
      </c>
      <c r="H135" s="2">
        <v>0</v>
      </c>
      <c r="I135" s="2">
        <v>0</v>
      </c>
      <c r="J135" s="2" t="s">
        <v>13</v>
      </c>
      <c r="K135" s="2" t="s">
        <v>21</v>
      </c>
      <c r="L135" s="2" t="s">
        <v>37</v>
      </c>
      <c r="M135" s="2" t="s">
        <v>56</v>
      </c>
      <c r="N135" s="1" t="str">
        <f>_xlfn.CONCAT(A135, "-",VLOOKUP(E135,Value!$B$2:$C$8,2,0),"TP: ",J135,K135)</f>
        <v>133-Đứng ngoàiTP: FIXED_R2.0</v>
      </c>
      <c r="O135" s="1" t="str">
        <f>VLOOKUP(J135,Value!$B$26:$C$29,2,0)</f>
        <v>Chốt lời cố định theo tỷ lệ R (Risk-Reward).</v>
      </c>
      <c r="P135" s="1" t="str">
        <f>VLOOKUP(L135,Value!$B$34:$C$37,2,0)</f>
        <v>Tắt tính năng Trailing Stop (Bám đuôi).</v>
      </c>
    </row>
    <row r="136" spans="1:16" ht="20.149999999999999" customHeight="1" x14ac:dyDescent="0.3">
      <c r="A136" s="2">
        <v>134</v>
      </c>
      <c r="B136" s="1" t="s">
        <v>16</v>
      </c>
      <c r="C136" s="1" t="s">
        <v>17</v>
      </c>
      <c r="D136" s="1" t="s">
        <v>14</v>
      </c>
      <c r="E136" s="2">
        <v>0</v>
      </c>
      <c r="F136" s="2" t="s">
        <v>19</v>
      </c>
      <c r="G136" s="2">
        <v>0</v>
      </c>
      <c r="H136" s="2">
        <v>0</v>
      </c>
      <c r="I136" s="2">
        <v>0</v>
      </c>
      <c r="J136" s="2" t="s">
        <v>13</v>
      </c>
      <c r="K136" s="2" t="s">
        <v>21</v>
      </c>
      <c r="L136" s="2" t="s">
        <v>37</v>
      </c>
      <c r="M136" s="2" t="s">
        <v>56</v>
      </c>
      <c r="N136" s="1" t="str">
        <f>_xlfn.CONCAT(A136, "-",VLOOKUP(E136,Value!$B$2:$C$8,2,0),"TP: ",J136,K136)</f>
        <v>134-Đứng ngoàiTP: FIXED_R2.0</v>
      </c>
      <c r="O136" s="1" t="str">
        <f>VLOOKUP(J136,Value!$B$26:$C$29,2,0)</f>
        <v>Chốt lời cố định theo tỷ lệ R (Risk-Reward).</v>
      </c>
      <c r="P136" s="1" t="str">
        <f>VLOOKUP(L136,Value!$B$34:$C$37,2,0)</f>
        <v>Tắt tính năng Trailing Stop (Bám đuôi).</v>
      </c>
    </row>
    <row r="137" spans="1:16" ht="20.149999999999999" customHeight="1" x14ac:dyDescent="0.3">
      <c r="A137" s="2">
        <v>135</v>
      </c>
      <c r="B137" s="1" t="s">
        <v>16</v>
      </c>
      <c r="C137" s="1" t="s">
        <v>17</v>
      </c>
      <c r="D137" s="1" t="s">
        <v>15</v>
      </c>
      <c r="E137" s="2">
        <v>0</v>
      </c>
      <c r="F137" s="2" t="s">
        <v>19</v>
      </c>
      <c r="G137" s="2">
        <v>0</v>
      </c>
      <c r="H137" s="2">
        <v>0</v>
      </c>
      <c r="I137" s="2">
        <v>0</v>
      </c>
      <c r="J137" s="2" t="s">
        <v>13</v>
      </c>
      <c r="K137" s="2" t="s">
        <v>21</v>
      </c>
      <c r="L137" s="2" t="s">
        <v>37</v>
      </c>
      <c r="M137" s="2" t="s">
        <v>56</v>
      </c>
      <c r="N137" s="1" t="str">
        <f>_xlfn.CONCAT(A137, "-",VLOOKUP(E137,Value!$B$2:$C$8,2,0),"TP: ",J137,K137)</f>
        <v>135-Đứng ngoàiTP: FIXED_R2.0</v>
      </c>
      <c r="O137" s="1" t="str">
        <f>VLOOKUP(J137,Value!$B$26:$C$29,2,0)</f>
        <v>Chốt lời cố định theo tỷ lệ R (Risk-Reward).</v>
      </c>
      <c r="P137" s="1" t="str">
        <f>VLOOKUP(L137,Value!$B$34:$C$37,2,0)</f>
        <v>Tắt tính năng Trailing Stop (Bám đuôi).</v>
      </c>
    </row>
    <row r="138" spans="1:16" ht="20.149999999999999" customHeight="1" x14ac:dyDescent="0.3">
      <c r="A138" s="2">
        <v>136</v>
      </c>
      <c r="B138" s="1" t="s">
        <v>16</v>
      </c>
      <c r="C138" s="1" t="s">
        <v>17</v>
      </c>
      <c r="D138" s="1" t="s">
        <v>16</v>
      </c>
      <c r="E138" s="2">
        <v>0</v>
      </c>
      <c r="F138" s="2" t="s">
        <v>19</v>
      </c>
      <c r="G138" s="2">
        <v>0</v>
      </c>
      <c r="H138" s="2">
        <v>0</v>
      </c>
      <c r="I138" s="2">
        <v>0</v>
      </c>
      <c r="J138" s="2" t="s">
        <v>13</v>
      </c>
      <c r="K138" s="2" t="s">
        <v>21</v>
      </c>
      <c r="L138" s="2" t="s">
        <v>37</v>
      </c>
      <c r="M138" s="2" t="s">
        <v>56</v>
      </c>
      <c r="N138" s="1" t="str">
        <f>_xlfn.CONCAT(A138, "-",VLOOKUP(E138,Value!$B$2:$C$8,2,0),"TP: ",J138,K138)</f>
        <v>136-Đứng ngoàiTP: FIXED_R2.0</v>
      </c>
      <c r="O138" s="1" t="str">
        <f>VLOOKUP(J138,Value!$B$26:$C$29,2,0)</f>
        <v>Chốt lời cố định theo tỷ lệ R (Risk-Reward).</v>
      </c>
      <c r="P138" s="1" t="str">
        <f>VLOOKUP(L138,Value!$B$34:$C$37,2,0)</f>
        <v>Tắt tính năng Trailing Stop (Bám đuôi).</v>
      </c>
    </row>
    <row r="139" spans="1:16" ht="20.149999999999999" customHeight="1" x14ac:dyDescent="0.3">
      <c r="A139" s="2">
        <v>137</v>
      </c>
      <c r="B139" s="1" t="s">
        <v>16</v>
      </c>
      <c r="C139" s="1" t="s">
        <v>17</v>
      </c>
      <c r="D139" s="1" t="s">
        <v>17</v>
      </c>
      <c r="E139" s="2">
        <v>0</v>
      </c>
      <c r="F139" s="2" t="s">
        <v>19</v>
      </c>
      <c r="G139" s="2">
        <v>0</v>
      </c>
      <c r="H139" s="2">
        <v>0</v>
      </c>
      <c r="I139" s="2">
        <v>0</v>
      </c>
      <c r="J139" s="2" t="s">
        <v>13</v>
      </c>
      <c r="K139" s="2" t="s">
        <v>21</v>
      </c>
      <c r="L139" s="2" t="s">
        <v>37</v>
      </c>
      <c r="M139" s="2" t="s">
        <v>56</v>
      </c>
      <c r="N139" s="1" t="str">
        <f>_xlfn.CONCAT(A139, "-",VLOOKUP(E139,Value!$B$2:$C$8,2,0),"TP: ",J139,K139)</f>
        <v>137-Đứng ngoàiTP: FIXED_R2.0</v>
      </c>
      <c r="O139" s="1" t="str">
        <f>VLOOKUP(J139,Value!$B$26:$C$29,2,0)</f>
        <v>Chốt lời cố định theo tỷ lệ R (Risk-Reward).</v>
      </c>
      <c r="P139" s="1" t="str">
        <f>VLOOKUP(L139,Value!$B$34:$C$37,2,0)</f>
        <v>Tắt tính năng Trailing Stop (Bám đuôi).</v>
      </c>
    </row>
    <row r="140" spans="1:16" ht="20.149999999999999" customHeight="1" x14ac:dyDescent="0.3">
      <c r="A140" s="2">
        <v>138</v>
      </c>
      <c r="B140" s="1" t="s">
        <v>16</v>
      </c>
      <c r="C140" s="1" t="s">
        <v>17</v>
      </c>
      <c r="D140" s="1" t="s">
        <v>18</v>
      </c>
      <c r="E140" s="2">
        <v>0</v>
      </c>
      <c r="F140" s="2" t="s">
        <v>19</v>
      </c>
      <c r="G140" s="2">
        <v>0</v>
      </c>
      <c r="H140" s="2">
        <v>0</v>
      </c>
      <c r="I140" s="2">
        <v>0</v>
      </c>
      <c r="J140" s="2" t="s">
        <v>13</v>
      </c>
      <c r="K140" s="2" t="s">
        <v>21</v>
      </c>
      <c r="L140" s="2" t="s">
        <v>37</v>
      </c>
      <c r="M140" s="2" t="s">
        <v>56</v>
      </c>
      <c r="N140" s="1" t="str">
        <f>_xlfn.CONCAT(A140, "-",VLOOKUP(E140,Value!$B$2:$C$8,2,0),"TP: ",J140,K140)</f>
        <v>138-Đứng ngoàiTP: FIXED_R2.0</v>
      </c>
      <c r="O140" s="1" t="str">
        <f>VLOOKUP(J140,Value!$B$26:$C$29,2,0)</f>
        <v>Chốt lời cố định theo tỷ lệ R (Risk-Reward).</v>
      </c>
      <c r="P140" s="1" t="str">
        <f>VLOOKUP(L140,Value!$B$34:$C$37,2,0)</f>
        <v>Tắt tính năng Trailing Stop (Bám đuôi).</v>
      </c>
    </row>
    <row r="141" spans="1:16" ht="20.149999999999999" customHeight="1" x14ac:dyDescent="0.3">
      <c r="A141" s="2">
        <v>139</v>
      </c>
      <c r="B141" s="1" t="s">
        <v>16</v>
      </c>
      <c r="C141" s="1" t="s">
        <v>18</v>
      </c>
      <c r="D141" s="1" t="s">
        <v>12</v>
      </c>
      <c r="E141" s="2">
        <v>1</v>
      </c>
      <c r="F141" s="2" t="s">
        <v>19</v>
      </c>
      <c r="G141" s="2">
        <v>0</v>
      </c>
      <c r="H141" s="2">
        <v>0</v>
      </c>
      <c r="I141" s="2">
        <v>0</v>
      </c>
      <c r="J141" s="2" t="s">
        <v>13</v>
      </c>
      <c r="K141" s="2" t="s">
        <v>21</v>
      </c>
      <c r="L141" s="2" t="s">
        <v>37</v>
      </c>
      <c r="M141" s="2" t="s">
        <v>56</v>
      </c>
      <c r="N141" s="1" t="str">
        <f>_xlfn.CONCAT(A141, "-",VLOOKUP(E141,Value!$B$2:$C$8,2,0),"TP: ",J141,K141)</f>
        <v>139-Buy Limit tại mép Buy Zone M1 Major, Cắt lỗ ở đáy Major.TP: FIXED_R2.0</v>
      </c>
      <c r="O141" s="1" t="str">
        <f>VLOOKUP(J141,Value!$B$26:$C$29,2,0)</f>
        <v>Chốt lời cố định theo tỷ lệ R (Risk-Reward).</v>
      </c>
      <c r="P141" s="1" t="str">
        <f>VLOOKUP(L141,Value!$B$34:$C$37,2,0)</f>
        <v>Tắt tính năng Trailing Stop (Bám đuôi).</v>
      </c>
    </row>
    <row r="142" spans="1:16" ht="20.149999999999999" customHeight="1" x14ac:dyDescent="0.3">
      <c r="A142" s="2">
        <v>140</v>
      </c>
      <c r="B142" s="1" t="s">
        <v>16</v>
      </c>
      <c r="C142" s="1" t="s">
        <v>18</v>
      </c>
      <c r="D142" s="1" t="s">
        <v>14</v>
      </c>
      <c r="E142" s="2">
        <v>1</v>
      </c>
      <c r="F142" s="2" t="s">
        <v>19</v>
      </c>
      <c r="G142" s="2">
        <v>0</v>
      </c>
      <c r="H142" s="2">
        <v>0</v>
      </c>
      <c r="I142" s="2">
        <v>0</v>
      </c>
      <c r="J142" s="2" t="s">
        <v>13</v>
      </c>
      <c r="K142" s="2" t="s">
        <v>21</v>
      </c>
      <c r="L142" s="2" t="s">
        <v>37</v>
      </c>
      <c r="M142" s="2" t="s">
        <v>56</v>
      </c>
      <c r="N142" s="1" t="str">
        <f>_xlfn.CONCAT(A142, "-",VLOOKUP(E142,Value!$B$2:$C$8,2,0),"TP: ",J142,K142)</f>
        <v>140-Buy Limit tại mép Buy Zone M1 Major, Cắt lỗ ở đáy Major.TP: FIXED_R2.0</v>
      </c>
      <c r="O142" s="1" t="str">
        <f>VLOOKUP(J142,Value!$B$26:$C$29,2,0)</f>
        <v>Chốt lời cố định theo tỷ lệ R (Risk-Reward).</v>
      </c>
      <c r="P142" s="1" t="str">
        <f>VLOOKUP(L142,Value!$B$34:$C$37,2,0)</f>
        <v>Tắt tính năng Trailing Stop (Bám đuôi).</v>
      </c>
    </row>
    <row r="143" spans="1:16" ht="20.149999999999999" customHeight="1" x14ac:dyDescent="0.3">
      <c r="A143" s="2">
        <v>141</v>
      </c>
      <c r="B143" s="1" t="s">
        <v>16</v>
      </c>
      <c r="C143" s="1" t="s">
        <v>18</v>
      </c>
      <c r="D143" s="1" t="s">
        <v>15</v>
      </c>
      <c r="E143" s="2">
        <v>1</v>
      </c>
      <c r="F143" s="2" t="s">
        <v>19</v>
      </c>
      <c r="G143" s="2">
        <v>0</v>
      </c>
      <c r="H143" s="2">
        <v>0</v>
      </c>
      <c r="I143" s="2">
        <v>0</v>
      </c>
      <c r="J143" s="2" t="s">
        <v>13</v>
      </c>
      <c r="K143" s="2" t="s">
        <v>21</v>
      </c>
      <c r="L143" s="2" t="s">
        <v>37</v>
      </c>
      <c r="M143" s="2" t="s">
        <v>56</v>
      </c>
      <c r="N143" s="1" t="str">
        <f>_xlfn.CONCAT(A143, "-",VLOOKUP(E143,Value!$B$2:$C$8,2,0),"TP: ",J143,K143)</f>
        <v>141-Buy Limit tại mép Buy Zone M1 Major, Cắt lỗ ở đáy Major.TP: FIXED_R2.0</v>
      </c>
      <c r="O143" s="1" t="str">
        <f>VLOOKUP(J143,Value!$B$26:$C$29,2,0)</f>
        <v>Chốt lời cố định theo tỷ lệ R (Risk-Reward).</v>
      </c>
      <c r="P143" s="1" t="str">
        <f>VLOOKUP(L143,Value!$B$34:$C$37,2,0)</f>
        <v>Tắt tính năng Trailing Stop (Bám đuôi).</v>
      </c>
    </row>
    <row r="144" spans="1:16" ht="20.149999999999999" customHeight="1" x14ac:dyDescent="0.3">
      <c r="A144" s="2">
        <v>142</v>
      </c>
      <c r="B144" s="1" t="s">
        <v>16</v>
      </c>
      <c r="C144" s="1" t="s">
        <v>18</v>
      </c>
      <c r="D144" s="1" t="s">
        <v>16</v>
      </c>
      <c r="E144" s="2">
        <v>1</v>
      </c>
      <c r="F144" s="2" t="s">
        <v>19</v>
      </c>
      <c r="G144" s="2">
        <v>0</v>
      </c>
      <c r="H144" s="2">
        <v>0</v>
      </c>
      <c r="I144" s="2">
        <v>0</v>
      </c>
      <c r="J144" s="2" t="s">
        <v>13</v>
      </c>
      <c r="K144" s="2" t="s">
        <v>21</v>
      </c>
      <c r="L144" s="2" t="s">
        <v>37</v>
      </c>
      <c r="M144" s="2" t="s">
        <v>56</v>
      </c>
      <c r="N144" s="1" t="str">
        <f>_xlfn.CONCAT(A144, "-",VLOOKUP(E144,Value!$B$2:$C$8,2,0),"TP: ",J144,K144)</f>
        <v>142-Buy Limit tại mép Buy Zone M1 Major, Cắt lỗ ở đáy Major.TP: FIXED_R2.0</v>
      </c>
      <c r="O144" s="1" t="str">
        <f>VLOOKUP(J144,Value!$B$26:$C$29,2,0)</f>
        <v>Chốt lời cố định theo tỷ lệ R (Risk-Reward).</v>
      </c>
      <c r="P144" s="1" t="str">
        <f>VLOOKUP(L144,Value!$B$34:$C$37,2,0)</f>
        <v>Tắt tính năng Trailing Stop (Bám đuôi).</v>
      </c>
    </row>
    <row r="145" spans="1:16" ht="20.149999999999999" customHeight="1" x14ac:dyDescent="0.3">
      <c r="A145" s="2">
        <v>143</v>
      </c>
      <c r="B145" s="1" t="s">
        <v>16</v>
      </c>
      <c r="C145" s="1" t="s">
        <v>18</v>
      </c>
      <c r="D145" s="1" t="s">
        <v>17</v>
      </c>
      <c r="E145" s="2">
        <v>1</v>
      </c>
      <c r="F145" s="2" t="s">
        <v>19</v>
      </c>
      <c r="G145" s="2">
        <v>0</v>
      </c>
      <c r="H145" s="2">
        <v>0</v>
      </c>
      <c r="I145" s="2">
        <v>0</v>
      </c>
      <c r="J145" s="2" t="s">
        <v>13</v>
      </c>
      <c r="K145" s="2" t="s">
        <v>21</v>
      </c>
      <c r="L145" s="2" t="s">
        <v>37</v>
      </c>
      <c r="M145" s="2" t="s">
        <v>56</v>
      </c>
      <c r="N145" s="1" t="str">
        <f>_xlfn.CONCAT(A145, "-",VLOOKUP(E145,Value!$B$2:$C$8,2,0),"TP: ",J145,K145)</f>
        <v>143-Buy Limit tại mép Buy Zone M1 Major, Cắt lỗ ở đáy Major.TP: FIXED_R2.0</v>
      </c>
      <c r="O145" s="1" t="str">
        <f>VLOOKUP(J145,Value!$B$26:$C$29,2,0)</f>
        <v>Chốt lời cố định theo tỷ lệ R (Risk-Reward).</v>
      </c>
      <c r="P145" s="1" t="str">
        <f>VLOOKUP(L145,Value!$B$34:$C$37,2,0)</f>
        <v>Tắt tính năng Trailing Stop (Bám đuôi).</v>
      </c>
    </row>
    <row r="146" spans="1:16" ht="20.149999999999999" customHeight="1" x14ac:dyDescent="0.3">
      <c r="A146" s="2">
        <v>144</v>
      </c>
      <c r="B146" s="1" t="s">
        <v>16</v>
      </c>
      <c r="C146" s="1" t="s">
        <v>18</v>
      </c>
      <c r="D146" s="1" t="s">
        <v>18</v>
      </c>
      <c r="E146" s="2">
        <v>1</v>
      </c>
      <c r="F146" s="2" t="s">
        <v>19</v>
      </c>
      <c r="G146" s="2">
        <v>0</v>
      </c>
      <c r="H146" s="2">
        <v>0</v>
      </c>
      <c r="I146" s="2">
        <v>0</v>
      </c>
      <c r="J146" s="2" t="s">
        <v>13</v>
      </c>
      <c r="K146" s="2" t="s">
        <v>21</v>
      </c>
      <c r="L146" s="2" t="s">
        <v>37</v>
      </c>
      <c r="M146" s="2" t="s">
        <v>56</v>
      </c>
      <c r="N146" s="1" t="str">
        <f>_xlfn.CONCAT(A146, "-",VLOOKUP(E146,Value!$B$2:$C$8,2,0),"TP: ",J146,K146)</f>
        <v>144-Buy Limit tại mép Buy Zone M1 Major, Cắt lỗ ở đáy Major.TP: FIXED_R2.0</v>
      </c>
      <c r="O146" s="1" t="str">
        <f>VLOOKUP(J146,Value!$B$26:$C$29,2,0)</f>
        <v>Chốt lời cố định theo tỷ lệ R (Risk-Reward).</v>
      </c>
      <c r="P146" s="1" t="str">
        <f>VLOOKUP(L146,Value!$B$34:$C$37,2,0)</f>
        <v>Tắt tính năng Trailing Stop (Bám đuôi).</v>
      </c>
    </row>
    <row r="147" spans="1:16" s="25" customFormat="1" ht="20.149999999999999" customHeight="1" x14ac:dyDescent="0.3">
      <c r="A147" s="24">
        <v>145</v>
      </c>
      <c r="B147" s="25" t="s">
        <v>17</v>
      </c>
      <c r="C147" s="25" t="s">
        <v>12</v>
      </c>
      <c r="D147" s="25" t="s">
        <v>12</v>
      </c>
      <c r="E147" s="2">
        <v>1</v>
      </c>
      <c r="F147" s="2" t="s">
        <v>19</v>
      </c>
      <c r="G147" s="2">
        <v>0</v>
      </c>
      <c r="H147" s="2">
        <v>0</v>
      </c>
      <c r="I147" s="2">
        <v>0</v>
      </c>
      <c r="J147" s="2" t="s">
        <v>13</v>
      </c>
      <c r="K147" s="2" t="s">
        <v>21</v>
      </c>
      <c r="L147" s="2" t="s">
        <v>37</v>
      </c>
      <c r="M147" s="2" t="s">
        <v>56</v>
      </c>
      <c r="N147" s="25" t="str">
        <f>_xlfn.CONCAT(A147, "-",VLOOKUP(E147,Value!$B$2:$C$8,2,0),"TP: ",J147,K147)</f>
        <v>145-Buy Limit tại mép Buy Zone M1 Major, Cắt lỗ ở đáy Major.TP: FIXED_R2.0</v>
      </c>
      <c r="O147" s="25" t="str">
        <f>VLOOKUP(J147,Value!$B$26:$C$29,2,0)</f>
        <v>Chốt lời cố định theo tỷ lệ R (Risk-Reward).</v>
      </c>
      <c r="P147" s="25" t="str">
        <f>VLOOKUP(L147,Value!$B$34:$C$37,2,0)</f>
        <v>Tắt tính năng Trailing Stop (Bám đuôi).</v>
      </c>
    </row>
    <row r="148" spans="1:16" ht="20.149999999999999" customHeight="1" x14ac:dyDescent="0.3">
      <c r="A148" s="2">
        <v>146</v>
      </c>
      <c r="B148" s="1" t="s">
        <v>17</v>
      </c>
      <c r="C148" s="1" t="s">
        <v>12</v>
      </c>
      <c r="D148" s="1" t="s">
        <v>14</v>
      </c>
      <c r="E148" s="2">
        <v>1</v>
      </c>
      <c r="F148" s="2" t="s">
        <v>19</v>
      </c>
      <c r="G148" s="2">
        <v>0</v>
      </c>
      <c r="H148" s="2">
        <v>0</v>
      </c>
      <c r="I148" s="2">
        <v>0</v>
      </c>
      <c r="J148" s="2" t="s">
        <v>13</v>
      </c>
      <c r="K148" s="2" t="s">
        <v>21</v>
      </c>
      <c r="L148" s="2" t="s">
        <v>37</v>
      </c>
      <c r="M148" s="2" t="s">
        <v>56</v>
      </c>
      <c r="N148" s="1" t="str">
        <f>_xlfn.CONCAT(A148, "-",VLOOKUP(E148,Value!$B$2:$C$8,2,0),"TP: ",J148,K148)</f>
        <v>146-Buy Limit tại mép Buy Zone M1 Major, Cắt lỗ ở đáy Major.TP: FIXED_R2.0</v>
      </c>
      <c r="O148" s="1" t="str">
        <f>VLOOKUP(J148,Value!$B$26:$C$29,2,0)</f>
        <v>Chốt lời cố định theo tỷ lệ R (Risk-Reward).</v>
      </c>
      <c r="P148" s="1" t="str">
        <f>VLOOKUP(L148,Value!$B$34:$C$37,2,0)</f>
        <v>Tắt tính năng Trailing Stop (Bám đuôi).</v>
      </c>
    </row>
    <row r="149" spans="1:16" ht="20.149999999999999" customHeight="1" x14ac:dyDescent="0.3">
      <c r="A149" s="2">
        <v>147</v>
      </c>
      <c r="B149" s="1" t="s">
        <v>17</v>
      </c>
      <c r="C149" s="1" t="s">
        <v>12</v>
      </c>
      <c r="D149" s="1" t="s">
        <v>15</v>
      </c>
      <c r="E149" s="2">
        <v>1</v>
      </c>
      <c r="F149" s="2" t="s">
        <v>19</v>
      </c>
      <c r="G149" s="2">
        <v>0</v>
      </c>
      <c r="H149" s="2">
        <v>0</v>
      </c>
      <c r="I149" s="2">
        <v>0</v>
      </c>
      <c r="J149" s="2" t="s">
        <v>13</v>
      </c>
      <c r="K149" s="2" t="s">
        <v>21</v>
      </c>
      <c r="L149" s="2" t="s">
        <v>37</v>
      </c>
      <c r="M149" s="2" t="s">
        <v>56</v>
      </c>
      <c r="N149" s="1" t="str">
        <f>_xlfn.CONCAT(A149, "-",VLOOKUP(E149,Value!$B$2:$C$8,2,0),"TP: ",J149,K149)</f>
        <v>147-Buy Limit tại mép Buy Zone M1 Major, Cắt lỗ ở đáy Major.TP: FIXED_R2.0</v>
      </c>
      <c r="O149" s="1" t="str">
        <f>VLOOKUP(J149,Value!$B$26:$C$29,2,0)</f>
        <v>Chốt lời cố định theo tỷ lệ R (Risk-Reward).</v>
      </c>
      <c r="P149" s="1" t="str">
        <f>VLOOKUP(L149,Value!$B$34:$C$37,2,0)</f>
        <v>Tắt tính năng Trailing Stop (Bám đuôi).</v>
      </c>
    </row>
    <row r="150" spans="1:16" ht="20.149999999999999" customHeight="1" x14ac:dyDescent="0.3">
      <c r="A150" s="2">
        <v>148</v>
      </c>
      <c r="B150" s="1" t="s">
        <v>17</v>
      </c>
      <c r="C150" s="1" t="s">
        <v>12</v>
      </c>
      <c r="D150" s="1" t="s">
        <v>16</v>
      </c>
      <c r="E150" s="2">
        <v>1</v>
      </c>
      <c r="F150" s="2" t="s">
        <v>19</v>
      </c>
      <c r="G150" s="2">
        <v>0</v>
      </c>
      <c r="H150" s="2">
        <v>0</v>
      </c>
      <c r="I150" s="2">
        <v>0</v>
      </c>
      <c r="J150" s="2" t="s">
        <v>13</v>
      </c>
      <c r="K150" s="2" t="s">
        <v>21</v>
      </c>
      <c r="L150" s="2" t="s">
        <v>37</v>
      </c>
      <c r="M150" s="2" t="s">
        <v>56</v>
      </c>
      <c r="N150" s="1" t="str">
        <f>_xlfn.CONCAT(A150, "-",VLOOKUP(E150,Value!$B$2:$C$8,2,0),"TP: ",J150,K150)</f>
        <v>148-Buy Limit tại mép Buy Zone M1 Major, Cắt lỗ ở đáy Major.TP: FIXED_R2.0</v>
      </c>
      <c r="O150" s="1" t="str">
        <f>VLOOKUP(J150,Value!$B$26:$C$29,2,0)</f>
        <v>Chốt lời cố định theo tỷ lệ R (Risk-Reward).</v>
      </c>
      <c r="P150" s="1" t="str">
        <f>VLOOKUP(L150,Value!$B$34:$C$37,2,0)</f>
        <v>Tắt tính năng Trailing Stop (Bám đuôi).</v>
      </c>
    </row>
    <row r="151" spans="1:16" ht="20.149999999999999" customHeight="1" x14ac:dyDescent="0.3">
      <c r="A151" s="2">
        <v>149</v>
      </c>
      <c r="B151" s="1" t="s">
        <v>17</v>
      </c>
      <c r="C151" s="1" t="s">
        <v>12</v>
      </c>
      <c r="D151" s="1" t="s">
        <v>17</v>
      </c>
      <c r="E151" s="2">
        <v>1</v>
      </c>
      <c r="F151" s="2" t="s">
        <v>19</v>
      </c>
      <c r="G151" s="2">
        <v>0</v>
      </c>
      <c r="H151" s="2">
        <v>0</v>
      </c>
      <c r="I151" s="2">
        <v>0</v>
      </c>
      <c r="J151" s="2" t="s">
        <v>13</v>
      </c>
      <c r="K151" s="2" t="s">
        <v>21</v>
      </c>
      <c r="L151" s="2" t="s">
        <v>37</v>
      </c>
      <c r="M151" s="2" t="s">
        <v>56</v>
      </c>
      <c r="N151" s="1" t="str">
        <f>_xlfn.CONCAT(A151, "-",VLOOKUP(E151,Value!$B$2:$C$8,2,0),"TP: ",J151,K151)</f>
        <v>149-Buy Limit tại mép Buy Zone M1 Major, Cắt lỗ ở đáy Major.TP: FIXED_R2.0</v>
      </c>
      <c r="O151" s="1" t="str">
        <f>VLOOKUP(J151,Value!$B$26:$C$29,2,0)</f>
        <v>Chốt lời cố định theo tỷ lệ R (Risk-Reward).</v>
      </c>
      <c r="P151" s="1" t="str">
        <f>VLOOKUP(L151,Value!$B$34:$C$37,2,0)</f>
        <v>Tắt tính năng Trailing Stop (Bám đuôi).</v>
      </c>
    </row>
    <row r="152" spans="1:16" ht="20.149999999999999" customHeight="1" x14ac:dyDescent="0.3">
      <c r="A152" s="2">
        <v>150</v>
      </c>
      <c r="B152" s="1" t="s">
        <v>17</v>
      </c>
      <c r="C152" s="1" t="s">
        <v>12</v>
      </c>
      <c r="D152" s="1" t="s">
        <v>18</v>
      </c>
      <c r="E152" s="2">
        <v>1</v>
      </c>
      <c r="F152" s="2" t="s">
        <v>19</v>
      </c>
      <c r="G152" s="2">
        <v>0</v>
      </c>
      <c r="H152" s="2">
        <v>0</v>
      </c>
      <c r="I152" s="2">
        <v>0</v>
      </c>
      <c r="J152" s="2" t="s">
        <v>13</v>
      </c>
      <c r="K152" s="2" t="s">
        <v>21</v>
      </c>
      <c r="L152" s="2" t="s">
        <v>37</v>
      </c>
      <c r="M152" s="2" t="s">
        <v>56</v>
      </c>
      <c r="N152" s="1" t="str">
        <f>_xlfn.CONCAT(A152, "-",VLOOKUP(E152,Value!$B$2:$C$8,2,0),"TP: ",J152,K152)</f>
        <v>150-Buy Limit tại mép Buy Zone M1 Major, Cắt lỗ ở đáy Major.TP: FIXED_R2.0</v>
      </c>
      <c r="O152" s="1" t="str">
        <f>VLOOKUP(J152,Value!$B$26:$C$29,2,0)</f>
        <v>Chốt lời cố định theo tỷ lệ R (Risk-Reward).</v>
      </c>
      <c r="P152" s="1" t="str">
        <f>VLOOKUP(L152,Value!$B$34:$C$37,2,0)</f>
        <v>Tắt tính năng Trailing Stop (Bám đuôi).</v>
      </c>
    </row>
    <row r="153" spans="1:16" ht="20.149999999999999" customHeight="1" x14ac:dyDescent="0.3">
      <c r="A153" s="2">
        <v>151</v>
      </c>
      <c r="B153" s="1" t="s">
        <v>17</v>
      </c>
      <c r="C153" s="1" t="s">
        <v>14</v>
      </c>
      <c r="D153" s="1" t="s">
        <v>12</v>
      </c>
      <c r="E153" s="2">
        <v>0</v>
      </c>
      <c r="F153" s="2" t="s">
        <v>19</v>
      </c>
      <c r="G153" s="2">
        <v>0</v>
      </c>
      <c r="H153" s="2">
        <v>0</v>
      </c>
      <c r="I153" s="2">
        <v>0</v>
      </c>
      <c r="J153" s="2" t="s">
        <v>13</v>
      </c>
      <c r="K153" s="2" t="s">
        <v>21</v>
      </c>
      <c r="L153" s="2" t="s">
        <v>37</v>
      </c>
      <c r="M153" s="2" t="s">
        <v>56</v>
      </c>
      <c r="N153" s="1" t="str">
        <f>_xlfn.CONCAT(A153, "-",VLOOKUP(E153,Value!$B$2:$C$8,2,0),"TP: ",J153,K153)</f>
        <v>151-Đứng ngoàiTP: FIXED_R2.0</v>
      </c>
      <c r="O153" s="1" t="str">
        <f>VLOOKUP(J153,Value!$B$26:$C$29,2,0)</f>
        <v>Chốt lời cố định theo tỷ lệ R (Risk-Reward).</v>
      </c>
      <c r="P153" s="1" t="str">
        <f>VLOOKUP(L153,Value!$B$34:$C$37,2,0)</f>
        <v>Tắt tính năng Trailing Stop (Bám đuôi).</v>
      </c>
    </row>
    <row r="154" spans="1:16" ht="20.149999999999999" customHeight="1" x14ac:dyDescent="0.3">
      <c r="A154" s="2">
        <v>152</v>
      </c>
      <c r="B154" s="1" t="s">
        <v>17</v>
      </c>
      <c r="C154" s="1" t="s">
        <v>14</v>
      </c>
      <c r="D154" s="1" t="s">
        <v>14</v>
      </c>
      <c r="E154" s="2">
        <v>0</v>
      </c>
      <c r="F154" s="2" t="s">
        <v>19</v>
      </c>
      <c r="G154" s="2">
        <v>0</v>
      </c>
      <c r="H154" s="2">
        <v>0</v>
      </c>
      <c r="I154" s="2">
        <v>0</v>
      </c>
      <c r="J154" s="2" t="s">
        <v>13</v>
      </c>
      <c r="K154" s="2" t="s">
        <v>21</v>
      </c>
      <c r="L154" s="2" t="s">
        <v>37</v>
      </c>
      <c r="M154" s="2" t="s">
        <v>56</v>
      </c>
      <c r="N154" s="1" t="str">
        <f>_xlfn.CONCAT(A154, "-",VLOOKUP(E154,Value!$B$2:$C$8,2,0),"TP: ",J154,K154)</f>
        <v>152-Đứng ngoàiTP: FIXED_R2.0</v>
      </c>
      <c r="O154" s="1" t="str">
        <f>VLOOKUP(J154,Value!$B$26:$C$29,2,0)</f>
        <v>Chốt lời cố định theo tỷ lệ R (Risk-Reward).</v>
      </c>
      <c r="P154" s="1" t="str">
        <f>VLOOKUP(L154,Value!$B$34:$C$37,2,0)</f>
        <v>Tắt tính năng Trailing Stop (Bám đuôi).</v>
      </c>
    </row>
    <row r="155" spans="1:16" ht="20.149999999999999" customHeight="1" x14ac:dyDescent="0.3">
      <c r="A155" s="2">
        <v>153</v>
      </c>
      <c r="B155" s="1" t="s">
        <v>17</v>
      </c>
      <c r="C155" s="1" t="s">
        <v>14</v>
      </c>
      <c r="D155" s="1" t="s">
        <v>15</v>
      </c>
      <c r="E155" s="2">
        <v>0</v>
      </c>
      <c r="F155" s="2" t="s">
        <v>19</v>
      </c>
      <c r="G155" s="2">
        <v>0</v>
      </c>
      <c r="H155" s="2">
        <v>0</v>
      </c>
      <c r="I155" s="2">
        <v>0</v>
      </c>
      <c r="J155" s="2" t="s">
        <v>13</v>
      </c>
      <c r="K155" s="2" t="s">
        <v>21</v>
      </c>
      <c r="L155" s="2" t="s">
        <v>37</v>
      </c>
      <c r="M155" s="2" t="s">
        <v>56</v>
      </c>
      <c r="N155" s="1" t="str">
        <f>_xlfn.CONCAT(A155, "-",VLOOKUP(E155,Value!$B$2:$C$8,2,0),"TP: ",J155,K155)</f>
        <v>153-Đứng ngoàiTP: FIXED_R2.0</v>
      </c>
      <c r="O155" s="1" t="str">
        <f>VLOOKUP(J155,Value!$B$26:$C$29,2,0)</f>
        <v>Chốt lời cố định theo tỷ lệ R (Risk-Reward).</v>
      </c>
      <c r="P155" s="1" t="str">
        <f>VLOOKUP(L155,Value!$B$34:$C$37,2,0)</f>
        <v>Tắt tính năng Trailing Stop (Bám đuôi).</v>
      </c>
    </row>
    <row r="156" spans="1:16" ht="20.149999999999999" customHeight="1" x14ac:dyDescent="0.3">
      <c r="A156" s="2">
        <v>154</v>
      </c>
      <c r="B156" s="1" t="s">
        <v>17</v>
      </c>
      <c r="C156" s="1" t="s">
        <v>14</v>
      </c>
      <c r="D156" s="1" t="s">
        <v>16</v>
      </c>
      <c r="E156" s="2">
        <v>0</v>
      </c>
      <c r="F156" s="2" t="s">
        <v>19</v>
      </c>
      <c r="G156" s="2">
        <v>0</v>
      </c>
      <c r="H156" s="2">
        <v>0</v>
      </c>
      <c r="I156" s="2">
        <v>0</v>
      </c>
      <c r="J156" s="2" t="s">
        <v>13</v>
      </c>
      <c r="K156" s="2" t="s">
        <v>21</v>
      </c>
      <c r="L156" s="2" t="s">
        <v>37</v>
      </c>
      <c r="M156" s="2" t="s">
        <v>56</v>
      </c>
      <c r="N156" s="1" t="str">
        <f>_xlfn.CONCAT(A156, "-",VLOOKUP(E156,Value!$B$2:$C$8,2,0),"TP: ",J156,K156)</f>
        <v>154-Đứng ngoàiTP: FIXED_R2.0</v>
      </c>
      <c r="O156" s="1" t="str">
        <f>VLOOKUP(J156,Value!$B$26:$C$29,2,0)</f>
        <v>Chốt lời cố định theo tỷ lệ R (Risk-Reward).</v>
      </c>
      <c r="P156" s="1" t="str">
        <f>VLOOKUP(L156,Value!$B$34:$C$37,2,0)</f>
        <v>Tắt tính năng Trailing Stop (Bám đuôi).</v>
      </c>
    </row>
    <row r="157" spans="1:16" ht="20.149999999999999" customHeight="1" x14ac:dyDescent="0.3">
      <c r="A157" s="2">
        <v>155</v>
      </c>
      <c r="B157" s="1" t="s">
        <v>17</v>
      </c>
      <c r="C157" s="1" t="s">
        <v>14</v>
      </c>
      <c r="D157" s="1" t="s">
        <v>17</v>
      </c>
      <c r="E157" s="2">
        <v>0</v>
      </c>
      <c r="F157" s="2" t="s">
        <v>19</v>
      </c>
      <c r="G157" s="2">
        <v>0</v>
      </c>
      <c r="H157" s="2">
        <v>0</v>
      </c>
      <c r="I157" s="2">
        <v>0</v>
      </c>
      <c r="J157" s="2" t="s">
        <v>13</v>
      </c>
      <c r="K157" s="2" t="s">
        <v>21</v>
      </c>
      <c r="L157" s="2" t="s">
        <v>37</v>
      </c>
      <c r="M157" s="2" t="s">
        <v>56</v>
      </c>
      <c r="N157" s="1" t="str">
        <f>_xlfn.CONCAT(A157, "-",VLOOKUP(E157,Value!$B$2:$C$8,2,0),"TP: ",J157,K157)</f>
        <v>155-Đứng ngoàiTP: FIXED_R2.0</v>
      </c>
      <c r="O157" s="1" t="str">
        <f>VLOOKUP(J157,Value!$B$26:$C$29,2,0)</f>
        <v>Chốt lời cố định theo tỷ lệ R (Risk-Reward).</v>
      </c>
      <c r="P157" s="1" t="str">
        <f>VLOOKUP(L157,Value!$B$34:$C$37,2,0)</f>
        <v>Tắt tính năng Trailing Stop (Bám đuôi).</v>
      </c>
    </row>
    <row r="158" spans="1:16" ht="20.149999999999999" customHeight="1" x14ac:dyDescent="0.3">
      <c r="A158" s="2">
        <v>156</v>
      </c>
      <c r="B158" s="1" t="s">
        <v>17</v>
      </c>
      <c r="C158" s="1" t="s">
        <v>14</v>
      </c>
      <c r="D158" s="1" t="s">
        <v>18</v>
      </c>
      <c r="E158" s="2">
        <v>0</v>
      </c>
      <c r="F158" s="2" t="s">
        <v>19</v>
      </c>
      <c r="G158" s="2">
        <v>0</v>
      </c>
      <c r="H158" s="2">
        <v>0</v>
      </c>
      <c r="I158" s="2">
        <v>0</v>
      </c>
      <c r="J158" s="2" t="s">
        <v>13</v>
      </c>
      <c r="K158" s="2" t="s">
        <v>21</v>
      </c>
      <c r="L158" s="2" t="s">
        <v>37</v>
      </c>
      <c r="M158" s="2" t="s">
        <v>56</v>
      </c>
      <c r="N158" s="1" t="str">
        <f>_xlfn.CONCAT(A158, "-",VLOOKUP(E158,Value!$B$2:$C$8,2,0),"TP: ",J158,K158)</f>
        <v>156-Đứng ngoàiTP: FIXED_R2.0</v>
      </c>
      <c r="O158" s="1" t="str">
        <f>VLOOKUP(J158,Value!$B$26:$C$29,2,0)</f>
        <v>Chốt lời cố định theo tỷ lệ R (Risk-Reward).</v>
      </c>
      <c r="P158" s="1" t="str">
        <f>VLOOKUP(L158,Value!$B$34:$C$37,2,0)</f>
        <v>Tắt tính năng Trailing Stop (Bám đuôi).</v>
      </c>
    </row>
    <row r="159" spans="1:16" ht="20.149999999999999" customHeight="1" x14ac:dyDescent="0.3">
      <c r="A159" s="2">
        <v>157</v>
      </c>
      <c r="B159" s="1" t="s">
        <v>17</v>
      </c>
      <c r="C159" s="1" t="s">
        <v>15</v>
      </c>
      <c r="D159" s="1" t="s">
        <v>12</v>
      </c>
      <c r="E159" s="2">
        <v>2</v>
      </c>
      <c r="F159" s="2" t="s">
        <v>19</v>
      </c>
      <c r="G159" s="2">
        <v>0</v>
      </c>
      <c r="H159" s="2">
        <v>0</v>
      </c>
      <c r="I159" s="2">
        <v>0</v>
      </c>
      <c r="J159" s="2" t="s">
        <v>13</v>
      </c>
      <c r="K159" s="2" t="s">
        <v>21</v>
      </c>
      <c r="L159" s="2" t="s">
        <v>37</v>
      </c>
      <c r="M159" s="2" t="s">
        <v>56</v>
      </c>
      <c r="N159" s="1" t="str">
        <f>_xlfn.CONCAT(A159, "-",VLOOKUP(E159,Value!$B$2:$C$8,2,0),"TP: ",J159,K159)</f>
        <v>157-Sell Limit tại mép Sell Zone M1 Major, Cắt lỗ ở đỉnh Major.TP: FIXED_R2.0</v>
      </c>
      <c r="O159" s="1" t="str">
        <f>VLOOKUP(J159,Value!$B$26:$C$29,2,0)</f>
        <v>Chốt lời cố định theo tỷ lệ R (Risk-Reward).</v>
      </c>
      <c r="P159" s="1" t="str">
        <f>VLOOKUP(L159,Value!$B$34:$C$37,2,0)</f>
        <v>Tắt tính năng Trailing Stop (Bám đuôi).</v>
      </c>
    </row>
    <row r="160" spans="1:16" ht="20.149999999999999" customHeight="1" x14ac:dyDescent="0.3">
      <c r="A160" s="2">
        <v>158</v>
      </c>
      <c r="B160" s="1" t="s">
        <v>17</v>
      </c>
      <c r="C160" s="1" t="s">
        <v>15</v>
      </c>
      <c r="D160" s="1" t="s">
        <v>14</v>
      </c>
      <c r="E160" s="2">
        <v>2</v>
      </c>
      <c r="F160" s="2" t="s">
        <v>19</v>
      </c>
      <c r="G160" s="2">
        <v>0</v>
      </c>
      <c r="H160" s="2">
        <v>0</v>
      </c>
      <c r="I160" s="2">
        <v>0</v>
      </c>
      <c r="J160" s="2" t="s">
        <v>13</v>
      </c>
      <c r="K160" s="2" t="s">
        <v>21</v>
      </c>
      <c r="L160" s="2" t="s">
        <v>37</v>
      </c>
      <c r="M160" s="2" t="s">
        <v>56</v>
      </c>
      <c r="N160" s="1" t="str">
        <f>_xlfn.CONCAT(A160, "-",VLOOKUP(E160,Value!$B$2:$C$8,2,0),"TP: ",J160,K160)</f>
        <v>158-Sell Limit tại mép Sell Zone M1 Major, Cắt lỗ ở đỉnh Major.TP: FIXED_R2.0</v>
      </c>
      <c r="O160" s="1" t="str">
        <f>VLOOKUP(J160,Value!$B$26:$C$29,2,0)</f>
        <v>Chốt lời cố định theo tỷ lệ R (Risk-Reward).</v>
      </c>
      <c r="P160" s="1" t="str">
        <f>VLOOKUP(L160,Value!$B$34:$C$37,2,0)</f>
        <v>Tắt tính năng Trailing Stop (Bám đuôi).</v>
      </c>
    </row>
    <row r="161" spans="1:16" ht="20.149999999999999" customHeight="1" x14ac:dyDescent="0.3">
      <c r="A161" s="2">
        <v>159</v>
      </c>
      <c r="B161" s="1" t="s">
        <v>17</v>
      </c>
      <c r="C161" s="1" t="s">
        <v>15</v>
      </c>
      <c r="D161" s="1" t="s">
        <v>15</v>
      </c>
      <c r="E161" s="2">
        <v>2</v>
      </c>
      <c r="F161" s="2" t="s">
        <v>19</v>
      </c>
      <c r="G161" s="2">
        <v>0</v>
      </c>
      <c r="H161" s="2">
        <v>0</v>
      </c>
      <c r="I161" s="2">
        <v>0</v>
      </c>
      <c r="J161" s="2" t="s">
        <v>13</v>
      </c>
      <c r="K161" s="2" t="s">
        <v>21</v>
      </c>
      <c r="L161" s="2" t="s">
        <v>37</v>
      </c>
      <c r="M161" s="2" t="s">
        <v>56</v>
      </c>
      <c r="N161" s="1" t="str">
        <f>_xlfn.CONCAT(A161, "-",VLOOKUP(E161,Value!$B$2:$C$8,2,0),"TP: ",J161,K161)</f>
        <v>159-Sell Limit tại mép Sell Zone M1 Major, Cắt lỗ ở đỉnh Major.TP: FIXED_R2.0</v>
      </c>
      <c r="O161" s="1" t="str">
        <f>VLOOKUP(J161,Value!$B$26:$C$29,2,0)</f>
        <v>Chốt lời cố định theo tỷ lệ R (Risk-Reward).</v>
      </c>
      <c r="P161" s="1" t="str">
        <f>VLOOKUP(L161,Value!$B$34:$C$37,2,0)</f>
        <v>Tắt tính năng Trailing Stop (Bám đuôi).</v>
      </c>
    </row>
    <row r="162" spans="1:16" ht="20.149999999999999" customHeight="1" x14ac:dyDescent="0.3">
      <c r="A162" s="2">
        <v>160</v>
      </c>
      <c r="B162" s="1" t="s">
        <v>17</v>
      </c>
      <c r="C162" s="1" t="s">
        <v>15</v>
      </c>
      <c r="D162" s="1" t="s">
        <v>16</v>
      </c>
      <c r="E162" s="2">
        <v>2</v>
      </c>
      <c r="F162" s="2" t="s">
        <v>19</v>
      </c>
      <c r="G162" s="2">
        <v>0</v>
      </c>
      <c r="H162" s="2">
        <v>0</v>
      </c>
      <c r="I162" s="2">
        <v>0</v>
      </c>
      <c r="J162" s="2" t="s">
        <v>13</v>
      </c>
      <c r="K162" s="2" t="s">
        <v>21</v>
      </c>
      <c r="L162" s="2" t="s">
        <v>37</v>
      </c>
      <c r="M162" s="2" t="s">
        <v>56</v>
      </c>
      <c r="N162" s="1" t="str">
        <f>_xlfn.CONCAT(A162, "-",VLOOKUP(E162,Value!$B$2:$C$8,2,0),"TP: ",J162,K162)</f>
        <v>160-Sell Limit tại mép Sell Zone M1 Major, Cắt lỗ ở đỉnh Major.TP: FIXED_R2.0</v>
      </c>
      <c r="O162" s="1" t="str">
        <f>VLOOKUP(J162,Value!$B$26:$C$29,2,0)</f>
        <v>Chốt lời cố định theo tỷ lệ R (Risk-Reward).</v>
      </c>
      <c r="P162" s="1" t="str">
        <f>VLOOKUP(L162,Value!$B$34:$C$37,2,0)</f>
        <v>Tắt tính năng Trailing Stop (Bám đuôi).</v>
      </c>
    </row>
    <row r="163" spans="1:16" ht="20.149999999999999" customHeight="1" x14ac:dyDescent="0.3">
      <c r="A163" s="2">
        <v>161</v>
      </c>
      <c r="B163" s="1" t="s">
        <v>17</v>
      </c>
      <c r="C163" s="1" t="s">
        <v>15</v>
      </c>
      <c r="D163" s="1" t="s">
        <v>17</v>
      </c>
      <c r="E163" s="2">
        <v>2</v>
      </c>
      <c r="F163" s="2" t="s">
        <v>19</v>
      </c>
      <c r="G163" s="2">
        <v>0</v>
      </c>
      <c r="H163" s="2">
        <v>0</v>
      </c>
      <c r="I163" s="2">
        <v>0</v>
      </c>
      <c r="J163" s="2" t="s">
        <v>13</v>
      </c>
      <c r="K163" s="2" t="s">
        <v>21</v>
      </c>
      <c r="L163" s="2" t="s">
        <v>37</v>
      </c>
      <c r="M163" s="2" t="s">
        <v>56</v>
      </c>
      <c r="N163" s="1" t="str">
        <f>_xlfn.CONCAT(A163, "-",VLOOKUP(E163,Value!$B$2:$C$8,2,0),"TP: ",J163,K163)</f>
        <v>161-Sell Limit tại mép Sell Zone M1 Major, Cắt lỗ ở đỉnh Major.TP: FIXED_R2.0</v>
      </c>
      <c r="O163" s="1" t="str">
        <f>VLOOKUP(J163,Value!$B$26:$C$29,2,0)</f>
        <v>Chốt lời cố định theo tỷ lệ R (Risk-Reward).</v>
      </c>
      <c r="P163" s="1" t="str">
        <f>VLOOKUP(L163,Value!$B$34:$C$37,2,0)</f>
        <v>Tắt tính năng Trailing Stop (Bám đuôi).</v>
      </c>
    </row>
    <row r="164" spans="1:16" ht="20.149999999999999" customHeight="1" x14ac:dyDescent="0.3">
      <c r="A164" s="2">
        <v>162</v>
      </c>
      <c r="B164" s="1" t="s">
        <v>17</v>
      </c>
      <c r="C164" s="1" t="s">
        <v>15</v>
      </c>
      <c r="D164" s="1" t="s">
        <v>18</v>
      </c>
      <c r="E164" s="2">
        <v>2</v>
      </c>
      <c r="F164" s="2" t="s">
        <v>19</v>
      </c>
      <c r="G164" s="2">
        <v>0</v>
      </c>
      <c r="H164" s="2">
        <v>0</v>
      </c>
      <c r="I164" s="2">
        <v>0</v>
      </c>
      <c r="J164" s="2" t="s">
        <v>13</v>
      </c>
      <c r="K164" s="2" t="s">
        <v>21</v>
      </c>
      <c r="L164" s="2" t="s">
        <v>37</v>
      </c>
      <c r="M164" s="2" t="s">
        <v>56</v>
      </c>
      <c r="N164" s="1" t="str">
        <f>_xlfn.CONCAT(A164, "-",VLOOKUP(E164,Value!$B$2:$C$8,2,0),"TP: ",J164,K164)</f>
        <v>162-Sell Limit tại mép Sell Zone M1 Major, Cắt lỗ ở đỉnh Major.TP: FIXED_R2.0</v>
      </c>
      <c r="O164" s="1" t="str">
        <f>VLOOKUP(J164,Value!$B$26:$C$29,2,0)</f>
        <v>Chốt lời cố định theo tỷ lệ R (Risk-Reward).</v>
      </c>
      <c r="P164" s="1" t="str">
        <f>VLOOKUP(L164,Value!$B$34:$C$37,2,0)</f>
        <v>Tắt tính năng Trailing Stop (Bám đuôi).</v>
      </c>
    </row>
    <row r="165" spans="1:16" ht="20.149999999999999" customHeight="1" x14ac:dyDescent="0.3">
      <c r="A165" s="2">
        <v>163</v>
      </c>
      <c r="B165" s="1" t="s">
        <v>17</v>
      </c>
      <c r="C165" s="1" t="s">
        <v>16</v>
      </c>
      <c r="D165" s="1" t="s">
        <v>12</v>
      </c>
      <c r="E165" s="2">
        <v>2</v>
      </c>
      <c r="F165" s="2" t="s">
        <v>19</v>
      </c>
      <c r="G165" s="2">
        <v>0</v>
      </c>
      <c r="H165" s="2">
        <v>0</v>
      </c>
      <c r="I165" s="2">
        <v>0</v>
      </c>
      <c r="J165" s="2" t="s">
        <v>13</v>
      </c>
      <c r="K165" s="2" t="s">
        <v>21</v>
      </c>
      <c r="L165" s="2" t="s">
        <v>37</v>
      </c>
      <c r="M165" s="2" t="s">
        <v>56</v>
      </c>
      <c r="N165" s="1" t="str">
        <f>_xlfn.CONCAT(A165, "-",VLOOKUP(E165,Value!$B$2:$C$8,2,0),"TP: ",J165,K165)</f>
        <v>163-Sell Limit tại mép Sell Zone M1 Major, Cắt lỗ ở đỉnh Major.TP: FIXED_R2.0</v>
      </c>
      <c r="O165" s="1" t="str">
        <f>VLOOKUP(J165,Value!$B$26:$C$29,2,0)</f>
        <v>Chốt lời cố định theo tỷ lệ R (Risk-Reward).</v>
      </c>
      <c r="P165" s="1" t="str">
        <f>VLOOKUP(L165,Value!$B$34:$C$37,2,0)</f>
        <v>Tắt tính năng Trailing Stop (Bám đuôi).</v>
      </c>
    </row>
    <row r="166" spans="1:16" ht="20.149999999999999" customHeight="1" x14ac:dyDescent="0.3">
      <c r="A166" s="2">
        <v>164</v>
      </c>
      <c r="B166" s="1" t="s">
        <v>17</v>
      </c>
      <c r="C166" s="1" t="s">
        <v>16</v>
      </c>
      <c r="D166" s="1" t="s">
        <v>14</v>
      </c>
      <c r="E166" s="2">
        <v>2</v>
      </c>
      <c r="F166" s="2" t="s">
        <v>19</v>
      </c>
      <c r="G166" s="2">
        <v>0</v>
      </c>
      <c r="H166" s="2">
        <v>0</v>
      </c>
      <c r="I166" s="2">
        <v>0</v>
      </c>
      <c r="J166" s="2" t="s">
        <v>13</v>
      </c>
      <c r="K166" s="2" t="s">
        <v>21</v>
      </c>
      <c r="L166" s="2" t="s">
        <v>37</v>
      </c>
      <c r="M166" s="2" t="s">
        <v>56</v>
      </c>
      <c r="N166" s="1" t="str">
        <f>_xlfn.CONCAT(A166, "-",VLOOKUP(E166,Value!$B$2:$C$8,2,0),"TP: ",J166,K166)</f>
        <v>164-Sell Limit tại mép Sell Zone M1 Major, Cắt lỗ ở đỉnh Major.TP: FIXED_R2.0</v>
      </c>
      <c r="O166" s="1" t="str">
        <f>VLOOKUP(J166,Value!$B$26:$C$29,2,0)</f>
        <v>Chốt lời cố định theo tỷ lệ R (Risk-Reward).</v>
      </c>
      <c r="P166" s="1" t="str">
        <f>VLOOKUP(L166,Value!$B$34:$C$37,2,0)</f>
        <v>Tắt tính năng Trailing Stop (Bám đuôi).</v>
      </c>
    </row>
    <row r="167" spans="1:16" ht="20.149999999999999" customHeight="1" x14ac:dyDescent="0.3">
      <c r="A167" s="2">
        <v>165</v>
      </c>
      <c r="B167" s="1" t="s">
        <v>17</v>
      </c>
      <c r="C167" s="1" t="s">
        <v>16</v>
      </c>
      <c r="D167" s="1" t="s">
        <v>15</v>
      </c>
      <c r="E167" s="2">
        <v>2</v>
      </c>
      <c r="F167" s="2" t="s">
        <v>19</v>
      </c>
      <c r="G167" s="2">
        <v>0</v>
      </c>
      <c r="H167" s="2">
        <v>0</v>
      </c>
      <c r="I167" s="2">
        <v>0</v>
      </c>
      <c r="J167" s="2" t="s">
        <v>13</v>
      </c>
      <c r="K167" s="2" t="s">
        <v>21</v>
      </c>
      <c r="L167" s="2" t="s">
        <v>37</v>
      </c>
      <c r="M167" s="2" t="s">
        <v>56</v>
      </c>
      <c r="N167" s="1" t="str">
        <f>_xlfn.CONCAT(A167, "-",VLOOKUP(E167,Value!$B$2:$C$8,2,0),"TP: ",J167,K167)</f>
        <v>165-Sell Limit tại mép Sell Zone M1 Major, Cắt lỗ ở đỉnh Major.TP: FIXED_R2.0</v>
      </c>
      <c r="O167" s="1" t="str">
        <f>VLOOKUP(J167,Value!$B$26:$C$29,2,0)</f>
        <v>Chốt lời cố định theo tỷ lệ R (Risk-Reward).</v>
      </c>
      <c r="P167" s="1" t="str">
        <f>VLOOKUP(L167,Value!$B$34:$C$37,2,0)</f>
        <v>Tắt tính năng Trailing Stop (Bám đuôi).</v>
      </c>
    </row>
    <row r="168" spans="1:16" ht="20.149999999999999" customHeight="1" x14ac:dyDescent="0.3">
      <c r="A168" s="2">
        <v>166</v>
      </c>
      <c r="B168" s="1" t="s">
        <v>17</v>
      </c>
      <c r="C168" s="1" t="s">
        <v>16</v>
      </c>
      <c r="D168" s="1" t="s">
        <v>16</v>
      </c>
      <c r="E168" s="2">
        <v>2</v>
      </c>
      <c r="F168" s="2" t="s">
        <v>19</v>
      </c>
      <c r="G168" s="2">
        <v>0</v>
      </c>
      <c r="H168" s="2">
        <v>0</v>
      </c>
      <c r="I168" s="2">
        <v>0</v>
      </c>
      <c r="J168" s="2" t="s">
        <v>13</v>
      </c>
      <c r="K168" s="2" t="s">
        <v>21</v>
      </c>
      <c r="L168" s="2" t="s">
        <v>37</v>
      </c>
      <c r="M168" s="2" t="s">
        <v>56</v>
      </c>
      <c r="N168" s="1" t="str">
        <f>_xlfn.CONCAT(A168, "-",VLOOKUP(E168,Value!$B$2:$C$8,2,0),"TP: ",J168,K168)</f>
        <v>166-Sell Limit tại mép Sell Zone M1 Major, Cắt lỗ ở đỉnh Major.TP: FIXED_R2.0</v>
      </c>
      <c r="O168" s="1" t="str">
        <f>VLOOKUP(J168,Value!$B$26:$C$29,2,0)</f>
        <v>Chốt lời cố định theo tỷ lệ R (Risk-Reward).</v>
      </c>
      <c r="P168" s="1" t="str">
        <f>VLOOKUP(L168,Value!$B$34:$C$37,2,0)</f>
        <v>Tắt tính năng Trailing Stop (Bám đuôi).</v>
      </c>
    </row>
    <row r="169" spans="1:16" ht="20.149999999999999" customHeight="1" x14ac:dyDescent="0.3">
      <c r="A169" s="2">
        <v>167</v>
      </c>
      <c r="B169" s="1" t="s">
        <v>17</v>
      </c>
      <c r="C169" s="1" t="s">
        <v>16</v>
      </c>
      <c r="D169" s="1" t="s">
        <v>17</v>
      </c>
      <c r="E169" s="2">
        <v>2</v>
      </c>
      <c r="F169" s="2" t="s">
        <v>19</v>
      </c>
      <c r="G169" s="2">
        <v>0</v>
      </c>
      <c r="H169" s="2">
        <v>0</v>
      </c>
      <c r="I169" s="2">
        <v>0</v>
      </c>
      <c r="J169" s="2" t="s">
        <v>13</v>
      </c>
      <c r="K169" s="2" t="s">
        <v>21</v>
      </c>
      <c r="L169" s="2" t="s">
        <v>37</v>
      </c>
      <c r="M169" s="2" t="s">
        <v>56</v>
      </c>
      <c r="N169" s="1" t="str">
        <f>_xlfn.CONCAT(A169, "-",VLOOKUP(E169,Value!$B$2:$C$8,2,0),"TP: ",J169,K169)</f>
        <v>167-Sell Limit tại mép Sell Zone M1 Major, Cắt lỗ ở đỉnh Major.TP: FIXED_R2.0</v>
      </c>
      <c r="O169" s="1" t="str">
        <f>VLOOKUP(J169,Value!$B$26:$C$29,2,0)</f>
        <v>Chốt lời cố định theo tỷ lệ R (Risk-Reward).</v>
      </c>
      <c r="P169" s="1" t="str">
        <f>VLOOKUP(L169,Value!$B$34:$C$37,2,0)</f>
        <v>Tắt tính năng Trailing Stop (Bám đuôi).</v>
      </c>
    </row>
    <row r="170" spans="1:16" ht="20.149999999999999" customHeight="1" x14ac:dyDescent="0.3">
      <c r="A170" s="2">
        <v>168</v>
      </c>
      <c r="B170" s="1" t="s">
        <v>17</v>
      </c>
      <c r="C170" s="1" t="s">
        <v>16</v>
      </c>
      <c r="D170" s="1" t="s">
        <v>18</v>
      </c>
      <c r="E170" s="2">
        <v>2</v>
      </c>
      <c r="F170" s="2" t="s">
        <v>19</v>
      </c>
      <c r="G170" s="2">
        <v>0</v>
      </c>
      <c r="H170" s="2">
        <v>0</v>
      </c>
      <c r="I170" s="2">
        <v>0</v>
      </c>
      <c r="J170" s="2" t="s">
        <v>13</v>
      </c>
      <c r="K170" s="2" t="s">
        <v>21</v>
      </c>
      <c r="L170" s="2" t="s">
        <v>37</v>
      </c>
      <c r="M170" s="2" t="s">
        <v>56</v>
      </c>
      <c r="N170" s="1" t="str">
        <f>_xlfn.CONCAT(A170, "-",VLOOKUP(E170,Value!$B$2:$C$8,2,0),"TP: ",J170,K170)</f>
        <v>168-Sell Limit tại mép Sell Zone M1 Major, Cắt lỗ ở đỉnh Major.TP: FIXED_R2.0</v>
      </c>
      <c r="O170" s="1" t="str">
        <f>VLOOKUP(J170,Value!$B$26:$C$29,2,0)</f>
        <v>Chốt lời cố định theo tỷ lệ R (Risk-Reward).</v>
      </c>
      <c r="P170" s="1" t="str">
        <f>VLOOKUP(L170,Value!$B$34:$C$37,2,0)</f>
        <v>Tắt tính năng Trailing Stop (Bám đuôi).</v>
      </c>
    </row>
    <row r="171" spans="1:16" ht="20.149999999999999" customHeight="1" x14ac:dyDescent="0.3">
      <c r="A171" s="2">
        <v>169</v>
      </c>
      <c r="B171" s="1" t="s">
        <v>17</v>
      </c>
      <c r="C171" s="1" t="s">
        <v>17</v>
      </c>
      <c r="D171" s="1" t="s">
        <v>12</v>
      </c>
      <c r="E171" s="2">
        <v>0</v>
      </c>
      <c r="F171" s="2" t="s">
        <v>19</v>
      </c>
      <c r="G171" s="2">
        <v>0</v>
      </c>
      <c r="H171" s="2">
        <v>0</v>
      </c>
      <c r="I171" s="2">
        <v>0</v>
      </c>
      <c r="J171" s="2" t="s">
        <v>13</v>
      </c>
      <c r="K171" s="2" t="s">
        <v>21</v>
      </c>
      <c r="L171" s="2" t="s">
        <v>37</v>
      </c>
      <c r="M171" s="2" t="s">
        <v>56</v>
      </c>
      <c r="N171" s="1" t="str">
        <f>_xlfn.CONCAT(A171, "-",VLOOKUP(E171,Value!$B$2:$C$8,2,0),"TP: ",J171,K171)</f>
        <v>169-Đứng ngoàiTP: FIXED_R2.0</v>
      </c>
      <c r="O171" s="1" t="str">
        <f>VLOOKUP(J171,Value!$B$26:$C$29,2,0)</f>
        <v>Chốt lời cố định theo tỷ lệ R (Risk-Reward).</v>
      </c>
      <c r="P171" s="1" t="str">
        <f>VLOOKUP(L171,Value!$B$34:$C$37,2,0)</f>
        <v>Tắt tính năng Trailing Stop (Bám đuôi).</v>
      </c>
    </row>
    <row r="172" spans="1:16" ht="20.149999999999999" customHeight="1" x14ac:dyDescent="0.3">
      <c r="A172" s="2">
        <v>170</v>
      </c>
      <c r="B172" s="1" t="s">
        <v>17</v>
      </c>
      <c r="C172" s="1" t="s">
        <v>17</v>
      </c>
      <c r="D172" s="1" t="s">
        <v>14</v>
      </c>
      <c r="E172" s="2">
        <v>0</v>
      </c>
      <c r="F172" s="2" t="s">
        <v>19</v>
      </c>
      <c r="G172" s="2">
        <v>0</v>
      </c>
      <c r="H172" s="2">
        <v>0</v>
      </c>
      <c r="I172" s="2">
        <v>0</v>
      </c>
      <c r="J172" s="2" t="s">
        <v>13</v>
      </c>
      <c r="K172" s="2" t="s">
        <v>21</v>
      </c>
      <c r="L172" s="2" t="s">
        <v>37</v>
      </c>
      <c r="M172" s="2" t="s">
        <v>56</v>
      </c>
      <c r="N172" s="1" t="str">
        <f>_xlfn.CONCAT(A172, "-",VLOOKUP(E172,Value!$B$2:$C$8,2,0),"TP: ",J172,K172)</f>
        <v>170-Đứng ngoàiTP: FIXED_R2.0</v>
      </c>
      <c r="O172" s="1" t="str">
        <f>VLOOKUP(J172,Value!$B$26:$C$29,2,0)</f>
        <v>Chốt lời cố định theo tỷ lệ R (Risk-Reward).</v>
      </c>
      <c r="P172" s="1" t="str">
        <f>VLOOKUP(L172,Value!$B$34:$C$37,2,0)</f>
        <v>Tắt tính năng Trailing Stop (Bám đuôi).</v>
      </c>
    </row>
    <row r="173" spans="1:16" ht="20.149999999999999" customHeight="1" x14ac:dyDescent="0.3">
      <c r="A173" s="2">
        <v>171</v>
      </c>
      <c r="B173" s="1" t="s">
        <v>17</v>
      </c>
      <c r="C173" s="1" t="s">
        <v>17</v>
      </c>
      <c r="D173" s="1" t="s">
        <v>15</v>
      </c>
      <c r="E173" s="2">
        <v>0</v>
      </c>
      <c r="F173" s="2" t="s">
        <v>19</v>
      </c>
      <c r="G173" s="2">
        <v>0</v>
      </c>
      <c r="H173" s="2">
        <v>0</v>
      </c>
      <c r="I173" s="2">
        <v>0</v>
      </c>
      <c r="J173" s="2" t="s">
        <v>13</v>
      </c>
      <c r="K173" s="2" t="s">
        <v>21</v>
      </c>
      <c r="L173" s="2" t="s">
        <v>37</v>
      </c>
      <c r="M173" s="2" t="s">
        <v>56</v>
      </c>
      <c r="N173" s="1" t="str">
        <f>_xlfn.CONCAT(A173, "-",VLOOKUP(E173,Value!$B$2:$C$8,2,0),"TP: ",J173,K173)</f>
        <v>171-Đứng ngoàiTP: FIXED_R2.0</v>
      </c>
      <c r="O173" s="1" t="str">
        <f>VLOOKUP(J173,Value!$B$26:$C$29,2,0)</f>
        <v>Chốt lời cố định theo tỷ lệ R (Risk-Reward).</v>
      </c>
      <c r="P173" s="1" t="str">
        <f>VLOOKUP(L173,Value!$B$34:$C$37,2,0)</f>
        <v>Tắt tính năng Trailing Stop (Bám đuôi).</v>
      </c>
    </row>
    <row r="174" spans="1:16" ht="20.149999999999999" customHeight="1" x14ac:dyDescent="0.3">
      <c r="A174" s="2">
        <v>172</v>
      </c>
      <c r="B174" s="1" t="s">
        <v>17</v>
      </c>
      <c r="C174" s="1" t="s">
        <v>17</v>
      </c>
      <c r="D174" s="1" t="s">
        <v>16</v>
      </c>
      <c r="E174" s="2">
        <v>0</v>
      </c>
      <c r="F174" s="2" t="s">
        <v>19</v>
      </c>
      <c r="G174" s="2">
        <v>0</v>
      </c>
      <c r="H174" s="2">
        <v>0</v>
      </c>
      <c r="I174" s="2">
        <v>0</v>
      </c>
      <c r="J174" s="2" t="s">
        <v>13</v>
      </c>
      <c r="K174" s="2" t="s">
        <v>21</v>
      </c>
      <c r="L174" s="2" t="s">
        <v>37</v>
      </c>
      <c r="M174" s="2" t="s">
        <v>56</v>
      </c>
      <c r="N174" s="1" t="str">
        <f>_xlfn.CONCAT(A174, "-",VLOOKUP(E174,Value!$B$2:$C$8,2,0),"TP: ",J174,K174)</f>
        <v>172-Đứng ngoàiTP: FIXED_R2.0</v>
      </c>
      <c r="O174" s="1" t="str">
        <f>VLOOKUP(J174,Value!$B$26:$C$29,2,0)</f>
        <v>Chốt lời cố định theo tỷ lệ R (Risk-Reward).</v>
      </c>
      <c r="P174" s="1" t="str">
        <f>VLOOKUP(L174,Value!$B$34:$C$37,2,0)</f>
        <v>Tắt tính năng Trailing Stop (Bám đuôi).</v>
      </c>
    </row>
    <row r="175" spans="1:16" ht="20.149999999999999" customHeight="1" x14ac:dyDescent="0.3">
      <c r="A175" s="2">
        <v>173</v>
      </c>
      <c r="B175" s="1" t="s">
        <v>17</v>
      </c>
      <c r="C175" s="1" t="s">
        <v>17</v>
      </c>
      <c r="D175" s="1" t="s">
        <v>17</v>
      </c>
      <c r="E175" s="2">
        <v>0</v>
      </c>
      <c r="F175" s="2" t="s">
        <v>19</v>
      </c>
      <c r="G175" s="2">
        <v>0</v>
      </c>
      <c r="H175" s="2">
        <v>0</v>
      </c>
      <c r="I175" s="2">
        <v>0</v>
      </c>
      <c r="J175" s="2" t="s">
        <v>13</v>
      </c>
      <c r="K175" s="2" t="s">
        <v>21</v>
      </c>
      <c r="L175" s="2" t="s">
        <v>37</v>
      </c>
      <c r="M175" s="2" t="s">
        <v>56</v>
      </c>
      <c r="N175" s="1" t="str">
        <f>_xlfn.CONCAT(A175, "-",VLOOKUP(E175,Value!$B$2:$C$8,2,0),"TP: ",J175,K175)</f>
        <v>173-Đứng ngoàiTP: FIXED_R2.0</v>
      </c>
      <c r="O175" s="1" t="str">
        <f>VLOOKUP(J175,Value!$B$26:$C$29,2,0)</f>
        <v>Chốt lời cố định theo tỷ lệ R (Risk-Reward).</v>
      </c>
      <c r="P175" s="1" t="str">
        <f>VLOOKUP(L175,Value!$B$34:$C$37,2,0)</f>
        <v>Tắt tính năng Trailing Stop (Bám đuôi).</v>
      </c>
    </row>
    <row r="176" spans="1:16" ht="20.149999999999999" customHeight="1" x14ac:dyDescent="0.3">
      <c r="A176" s="2">
        <v>174</v>
      </c>
      <c r="B176" s="1" t="s">
        <v>17</v>
      </c>
      <c r="C176" s="1" t="s">
        <v>17</v>
      </c>
      <c r="D176" s="1" t="s">
        <v>18</v>
      </c>
      <c r="E176" s="2">
        <v>0</v>
      </c>
      <c r="F176" s="2" t="s">
        <v>19</v>
      </c>
      <c r="G176" s="2">
        <v>0</v>
      </c>
      <c r="H176" s="2">
        <v>0</v>
      </c>
      <c r="I176" s="2">
        <v>0</v>
      </c>
      <c r="J176" s="2" t="s">
        <v>13</v>
      </c>
      <c r="K176" s="2" t="s">
        <v>21</v>
      </c>
      <c r="L176" s="2" t="s">
        <v>37</v>
      </c>
      <c r="M176" s="2" t="s">
        <v>56</v>
      </c>
      <c r="N176" s="1" t="str">
        <f>_xlfn.CONCAT(A176, "-",VLOOKUP(E176,Value!$B$2:$C$8,2,0),"TP: ",J176,K176)</f>
        <v>174-Đứng ngoàiTP: FIXED_R2.0</v>
      </c>
      <c r="O176" s="1" t="str">
        <f>VLOOKUP(J176,Value!$B$26:$C$29,2,0)</f>
        <v>Chốt lời cố định theo tỷ lệ R (Risk-Reward).</v>
      </c>
      <c r="P176" s="1" t="str">
        <f>VLOOKUP(L176,Value!$B$34:$C$37,2,0)</f>
        <v>Tắt tính năng Trailing Stop (Bám đuôi).</v>
      </c>
    </row>
    <row r="177" spans="1:16" ht="20.149999999999999" customHeight="1" x14ac:dyDescent="0.3">
      <c r="A177" s="2">
        <v>175</v>
      </c>
      <c r="B177" s="1" t="s">
        <v>17</v>
      </c>
      <c r="C177" s="1" t="s">
        <v>18</v>
      </c>
      <c r="D177" s="1" t="s">
        <v>12</v>
      </c>
      <c r="E177" s="2">
        <v>1</v>
      </c>
      <c r="F177" s="2" t="s">
        <v>19</v>
      </c>
      <c r="G177" s="2">
        <v>0</v>
      </c>
      <c r="H177" s="2">
        <v>0</v>
      </c>
      <c r="I177" s="2">
        <v>0</v>
      </c>
      <c r="J177" s="2" t="s">
        <v>13</v>
      </c>
      <c r="K177" s="2" t="s">
        <v>21</v>
      </c>
      <c r="L177" s="2" t="s">
        <v>37</v>
      </c>
      <c r="M177" s="2" t="s">
        <v>56</v>
      </c>
      <c r="N177" s="1" t="str">
        <f>_xlfn.CONCAT(A177, "-",VLOOKUP(E177,Value!$B$2:$C$8,2,0),"TP: ",J177,K177)</f>
        <v>175-Buy Limit tại mép Buy Zone M1 Major, Cắt lỗ ở đáy Major.TP: FIXED_R2.0</v>
      </c>
      <c r="O177" s="1" t="str">
        <f>VLOOKUP(J177,Value!$B$26:$C$29,2,0)</f>
        <v>Chốt lời cố định theo tỷ lệ R (Risk-Reward).</v>
      </c>
      <c r="P177" s="1" t="str">
        <f>VLOOKUP(L177,Value!$B$34:$C$37,2,0)</f>
        <v>Tắt tính năng Trailing Stop (Bám đuôi).</v>
      </c>
    </row>
    <row r="178" spans="1:16" ht="20.149999999999999" customHeight="1" x14ac:dyDescent="0.3">
      <c r="A178" s="2">
        <v>176</v>
      </c>
      <c r="B178" s="1" t="s">
        <v>17</v>
      </c>
      <c r="C178" s="1" t="s">
        <v>18</v>
      </c>
      <c r="D178" s="1" t="s">
        <v>14</v>
      </c>
      <c r="E178" s="2">
        <v>1</v>
      </c>
      <c r="F178" s="2" t="s">
        <v>19</v>
      </c>
      <c r="G178" s="2">
        <v>0</v>
      </c>
      <c r="H178" s="2">
        <v>0</v>
      </c>
      <c r="I178" s="2">
        <v>0</v>
      </c>
      <c r="J178" s="2" t="s">
        <v>13</v>
      </c>
      <c r="K178" s="2" t="s">
        <v>21</v>
      </c>
      <c r="L178" s="2" t="s">
        <v>37</v>
      </c>
      <c r="M178" s="2" t="s">
        <v>56</v>
      </c>
      <c r="N178" s="1" t="str">
        <f>_xlfn.CONCAT(A178, "-",VLOOKUP(E178,Value!$B$2:$C$8,2,0),"TP: ",J178,K178)</f>
        <v>176-Buy Limit tại mép Buy Zone M1 Major, Cắt lỗ ở đáy Major.TP: FIXED_R2.0</v>
      </c>
      <c r="O178" s="1" t="str">
        <f>VLOOKUP(J178,Value!$B$26:$C$29,2,0)</f>
        <v>Chốt lời cố định theo tỷ lệ R (Risk-Reward).</v>
      </c>
      <c r="P178" s="1" t="str">
        <f>VLOOKUP(L178,Value!$B$34:$C$37,2,0)</f>
        <v>Tắt tính năng Trailing Stop (Bám đuôi).</v>
      </c>
    </row>
    <row r="179" spans="1:16" ht="20.149999999999999" customHeight="1" x14ac:dyDescent="0.3">
      <c r="A179" s="2">
        <v>177</v>
      </c>
      <c r="B179" s="1" t="s">
        <v>17</v>
      </c>
      <c r="C179" s="1" t="s">
        <v>18</v>
      </c>
      <c r="D179" s="1" t="s">
        <v>15</v>
      </c>
      <c r="E179" s="2">
        <v>1</v>
      </c>
      <c r="F179" s="2" t="s">
        <v>19</v>
      </c>
      <c r="G179" s="2">
        <v>0</v>
      </c>
      <c r="H179" s="2">
        <v>0</v>
      </c>
      <c r="I179" s="2">
        <v>0</v>
      </c>
      <c r="J179" s="2" t="s">
        <v>13</v>
      </c>
      <c r="K179" s="2" t="s">
        <v>21</v>
      </c>
      <c r="L179" s="2" t="s">
        <v>37</v>
      </c>
      <c r="M179" s="2" t="s">
        <v>56</v>
      </c>
      <c r="N179" s="1" t="str">
        <f>_xlfn.CONCAT(A179, "-",VLOOKUP(E179,Value!$B$2:$C$8,2,0),"TP: ",J179,K179)</f>
        <v>177-Buy Limit tại mép Buy Zone M1 Major, Cắt lỗ ở đáy Major.TP: FIXED_R2.0</v>
      </c>
      <c r="O179" s="1" t="str">
        <f>VLOOKUP(J179,Value!$B$26:$C$29,2,0)</f>
        <v>Chốt lời cố định theo tỷ lệ R (Risk-Reward).</v>
      </c>
      <c r="P179" s="1" t="str">
        <f>VLOOKUP(L179,Value!$B$34:$C$37,2,0)</f>
        <v>Tắt tính năng Trailing Stop (Bám đuôi).</v>
      </c>
    </row>
    <row r="180" spans="1:16" ht="20.149999999999999" customHeight="1" x14ac:dyDescent="0.3">
      <c r="A180" s="2">
        <v>178</v>
      </c>
      <c r="B180" s="1" t="s">
        <v>17</v>
      </c>
      <c r="C180" s="1" t="s">
        <v>18</v>
      </c>
      <c r="D180" s="1" t="s">
        <v>16</v>
      </c>
      <c r="E180" s="2">
        <v>1</v>
      </c>
      <c r="F180" s="2" t="s">
        <v>19</v>
      </c>
      <c r="G180" s="2">
        <v>0</v>
      </c>
      <c r="H180" s="2">
        <v>0</v>
      </c>
      <c r="I180" s="2">
        <v>0</v>
      </c>
      <c r="J180" s="2" t="s">
        <v>13</v>
      </c>
      <c r="K180" s="2" t="s">
        <v>21</v>
      </c>
      <c r="L180" s="2" t="s">
        <v>37</v>
      </c>
      <c r="M180" s="2" t="s">
        <v>56</v>
      </c>
      <c r="N180" s="1" t="str">
        <f>_xlfn.CONCAT(A180, "-",VLOOKUP(E180,Value!$B$2:$C$8,2,0),"TP: ",J180,K180)</f>
        <v>178-Buy Limit tại mép Buy Zone M1 Major, Cắt lỗ ở đáy Major.TP: FIXED_R2.0</v>
      </c>
      <c r="O180" s="1" t="str">
        <f>VLOOKUP(J180,Value!$B$26:$C$29,2,0)</f>
        <v>Chốt lời cố định theo tỷ lệ R (Risk-Reward).</v>
      </c>
      <c r="P180" s="1" t="str">
        <f>VLOOKUP(L180,Value!$B$34:$C$37,2,0)</f>
        <v>Tắt tính năng Trailing Stop (Bám đuôi).</v>
      </c>
    </row>
    <row r="181" spans="1:16" ht="20.149999999999999" customHeight="1" x14ac:dyDescent="0.3">
      <c r="A181" s="2">
        <v>179</v>
      </c>
      <c r="B181" s="1" t="s">
        <v>17</v>
      </c>
      <c r="C181" s="1" t="s">
        <v>18</v>
      </c>
      <c r="D181" s="1" t="s">
        <v>17</v>
      </c>
      <c r="E181" s="2">
        <v>1</v>
      </c>
      <c r="F181" s="2" t="s">
        <v>19</v>
      </c>
      <c r="G181" s="2">
        <v>0</v>
      </c>
      <c r="H181" s="2">
        <v>0</v>
      </c>
      <c r="I181" s="2">
        <v>0</v>
      </c>
      <c r="J181" s="2" t="s">
        <v>13</v>
      </c>
      <c r="K181" s="2" t="s">
        <v>21</v>
      </c>
      <c r="L181" s="2" t="s">
        <v>37</v>
      </c>
      <c r="M181" s="2" t="s">
        <v>56</v>
      </c>
      <c r="N181" s="1" t="str">
        <f>_xlfn.CONCAT(A181, "-",VLOOKUP(E181,Value!$B$2:$C$8,2,0),"TP: ",J181,K181)</f>
        <v>179-Buy Limit tại mép Buy Zone M1 Major, Cắt lỗ ở đáy Major.TP: FIXED_R2.0</v>
      </c>
      <c r="O181" s="1" t="str">
        <f>VLOOKUP(J181,Value!$B$26:$C$29,2,0)</f>
        <v>Chốt lời cố định theo tỷ lệ R (Risk-Reward).</v>
      </c>
      <c r="P181" s="1" t="str">
        <f>VLOOKUP(L181,Value!$B$34:$C$37,2,0)</f>
        <v>Tắt tính năng Trailing Stop (Bám đuôi).</v>
      </c>
    </row>
    <row r="182" spans="1:16" ht="20.149999999999999" customHeight="1" x14ac:dyDescent="0.3">
      <c r="A182" s="2">
        <v>180</v>
      </c>
      <c r="B182" s="1" t="s">
        <v>17</v>
      </c>
      <c r="C182" s="1" t="s">
        <v>18</v>
      </c>
      <c r="D182" s="1" t="s">
        <v>18</v>
      </c>
      <c r="E182" s="2">
        <v>1</v>
      </c>
      <c r="F182" s="2" t="s">
        <v>19</v>
      </c>
      <c r="G182" s="2">
        <v>0</v>
      </c>
      <c r="H182" s="2">
        <v>0</v>
      </c>
      <c r="I182" s="2">
        <v>0</v>
      </c>
      <c r="J182" s="2" t="s">
        <v>13</v>
      </c>
      <c r="K182" s="2" t="s">
        <v>21</v>
      </c>
      <c r="L182" s="2" t="s">
        <v>37</v>
      </c>
      <c r="M182" s="2" t="s">
        <v>56</v>
      </c>
      <c r="N182" s="1" t="str">
        <f>_xlfn.CONCAT(A182, "-",VLOOKUP(E182,Value!$B$2:$C$8,2,0),"TP: ",J182,K182)</f>
        <v>180-Buy Limit tại mép Buy Zone M1 Major, Cắt lỗ ở đáy Major.TP: FIXED_R2.0</v>
      </c>
      <c r="O182" s="1" t="str">
        <f>VLOOKUP(J182,Value!$B$26:$C$29,2,0)</f>
        <v>Chốt lời cố định theo tỷ lệ R (Risk-Reward).</v>
      </c>
      <c r="P182" s="1" t="str">
        <f>VLOOKUP(L182,Value!$B$34:$C$37,2,0)</f>
        <v>Tắt tính năng Trailing Stop (Bám đuôi).</v>
      </c>
    </row>
    <row r="183" spans="1:16" ht="20.149999999999999" customHeight="1" x14ac:dyDescent="0.3">
      <c r="A183" s="2">
        <v>181</v>
      </c>
      <c r="B183" s="1" t="s">
        <v>18</v>
      </c>
      <c r="C183" s="1" t="s">
        <v>12</v>
      </c>
      <c r="D183" s="1" t="s">
        <v>12</v>
      </c>
      <c r="E183" s="2">
        <v>1</v>
      </c>
      <c r="F183" s="2" t="s">
        <v>19</v>
      </c>
      <c r="G183" s="2">
        <v>0</v>
      </c>
      <c r="H183" s="2">
        <v>0</v>
      </c>
      <c r="I183" s="2">
        <v>0</v>
      </c>
      <c r="J183" s="2" t="s">
        <v>13</v>
      </c>
      <c r="K183" s="2" t="s">
        <v>21</v>
      </c>
      <c r="L183" s="2" t="s">
        <v>37</v>
      </c>
      <c r="M183" s="2" t="s">
        <v>56</v>
      </c>
      <c r="N183" s="1" t="str">
        <f>_xlfn.CONCAT(A183, "-",VLOOKUP(E183,Value!$B$2:$C$8,2,0),"TP: ",J183,K183)</f>
        <v>181-Buy Limit tại mép Buy Zone M1 Major, Cắt lỗ ở đáy Major.TP: FIXED_R2.0</v>
      </c>
      <c r="O183" s="1" t="str">
        <f>VLOOKUP(J183,Value!$B$26:$C$29,2,0)</f>
        <v>Chốt lời cố định theo tỷ lệ R (Risk-Reward).</v>
      </c>
      <c r="P183" s="1" t="str">
        <f>VLOOKUP(L183,Value!$B$34:$C$37,2,0)</f>
        <v>Tắt tính năng Trailing Stop (Bám đuôi).</v>
      </c>
    </row>
    <row r="184" spans="1:16" ht="20.149999999999999" customHeight="1" x14ac:dyDescent="0.3">
      <c r="A184" s="2">
        <v>182</v>
      </c>
      <c r="B184" s="1" t="s">
        <v>18</v>
      </c>
      <c r="C184" s="1" t="s">
        <v>12</v>
      </c>
      <c r="D184" s="1" t="s">
        <v>14</v>
      </c>
      <c r="E184" s="2">
        <v>1</v>
      </c>
      <c r="F184" s="2" t="s">
        <v>19</v>
      </c>
      <c r="G184" s="2">
        <v>0</v>
      </c>
      <c r="H184" s="2">
        <v>0</v>
      </c>
      <c r="I184" s="2">
        <v>0</v>
      </c>
      <c r="J184" s="2" t="s">
        <v>13</v>
      </c>
      <c r="K184" s="2" t="s">
        <v>21</v>
      </c>
      <c r="L184" s="2" t="s">
        <v>37</v>
      </c>
      <c r="M184" s="2" t="s">
        <v>56</v>
      </c>
      <c r="N184" s="1" t="str">
        <f>_xlfn.CONCAT(A184, "-",VLOOKUP(E184,Value!$B$2:$C$8,2,0),"TP: ",J184,K184)</f>
        <v>182-Buy Limit tại mép Buy Zone M1 Major, Cắt lỗ ở đáy Major.TP: FIXED_R2.0</v>
      </c>
      <c r="O184" s="1" t="str">
        <f>VLOOKUP(J184,Value!$B$26:$C$29,2,0)</f>
        <v>Chốt lời cố định theo tỷ lệ R (Risk-Reward).</v>
      </c>
      <c r="P184" s="1" t="str">
        <f>VLOOKUP(L184,Value!$B$34:$C$37,2,0)</f>
        <v>Tắt tính năng Trailing Stop (Bám đuôi).</v>
      </c>
    </row>
    <row r="185" spans="1:16" ht="20.149999999999999" customHeight="1" x14ac:dyDescent="0.3">
      <c r="A185" s="2">
        <v>183</v>
      </c>
      <c r="B185" s="1" t="s">
        <v>18</v>
      </c>
      <c r="C185" s="1" t="s">
        <v>12</v>
      </c>
      <c r="D185" s="1" t="s">
        <v>15</v>
      </c>
      <c r="E185" s="2">
        <v>1</v>
      </c>
      <c r="F185" s="2" t="s">
        <v>19</v>
      </c>
      <c r="G185" s="2">
        <v>0</v>
      </c>
      <c r="H185" s="2">
        <v>0</v>
      </c>
      <c r="I185" s="2">
        <v>0</v>
      </c>
      <c r="J185" s="2" t="s">
        <v>13</v>
      </c>
      <c r="K185" s="2" t="s">
        <v>21</v>
      </c>
      <c r="L185" s="2" t="s">
        <v>37</v>
      </c>
      <c r="M185" s="2" t="s">
        <v>56</v>
      </c>
      <c r="N185" s="1" t="str">
        <f>_xlfn.CONCAT(A185, "-",VLOOKUP(E185,Value!$B$2:$C$8,2,0),"TP: ",J185,K185)</f>
        <v>183-Buy Limit tại mép Buy Zone M1 Major, Cắt lỗ ở đáy Major.TP: FIXED_R2.0</v>
      </c>
      <c r="O185" s="1" t="str">
        <f>VLOOKUP(J185,Value!$B$26:$C$29,2,0)</f>
        <v>Chốt lời cố định theo tỷ lệ R (Risk-Reward).</v>
      </c>
      <c r="P185" s="1" t="str">
        <f>VLOOKUP(L185,Value!$B$34:$C$37,2,0)</f>
        <v>Tắt tính năng Trailing Stop (Bám đuôi).</v>
      </c>
    </row>
    <row r="186" spans="1:16" ht="20.149999999999999" customHeight="1" x14ac:dyDescent="0.3">
      <c r="A186" s="2">
        <v>184</v>
      </c>
      <c r="B186" s="1" t="s">
        <v>18</v>
      </c>
      <c r="C186" s="1" t="s">
        <v>12</v>
      </c>
      <c r="D186" s="1" t="s">
        <v>16</v>
      </c>
      <c r="E186" s="2">
        <v>1</v>
      </c>
      <c r="F186" s="2" t="s">
        <v>19</v>
      </c>
      <c r="G186" s="2">
        <v>0</v>
      </c>
      <c r="H186" s="2">
        <v>0</v>
      </c>
      <c r="I186" s="2">
        <v>0</v>
      </c>
      <c r="J186" s="2" t="s">
        <v>13</v>
      </c>
      <c r="K186" s="2" t="s">
        <v>21</v>
      </c>
      <c r="L186" s="2" t="s">
        <v>37</v>
      </c>
      <c r="M186" s="2" t="s">
        <v>56</v>
      </c>
      <c r="N186" s="1" t="str">
        <f>_xlfn.CONCAT(A186, "-",VLOOKUP(E186,Value!$B$2:$C$8,2,0),"TP: ",J186,K186)</f>
        <v>184-Buy Limit tại mép Buy Zone M1 Major, Cắt lỗ ở đáy Major.TP: FIXED_R2.0</v>
      </c>
      <c r="O186" s="1" t="str">
        <f>VLOOKUP(J186,Value!$B$26:$C$29,2,0)</f>
        <v>Chốt lời cố định theo tỷ lệ R (Risk-Reward).</v>
      </c>
      <c r="P186" s="1" t="str">
        <f>VLOOKUP(L186,Value!$B$34:$C$37,2,0)</f>
        <v>Tắt tính năng Trailing Stop (Bám đuôi).</v>
      </c>
    </row>
    <row r="187" spans="1:16" ht="20.149999999999999" customHeight="1" x14ac:dyDescent="0.3">
      <c r="A187" s="2">
        <v>185</v>
      </c>
      <c r="B187" s="1" t="s">
        <v>18</v>
      </c>
      <c r="C187" s="1" t="s">
        <v>12</v>
      </c>
      <c r="D187" s="1" t="s">
        <v>17</v>
      </c>
      <c r="E187" s="2">
        <v>1</v>
      </c>
      <c r="F187" s="2" t="s">
        <v>19</v>
      </c>
      <c r="G187" s="2">
        <v>0</v>
      </c>
      <c r="H187" s="2">
        <v>0</v>
      </c>
      <c r="I187" s="2">
        <v>0</v>
      </c>
      <c r="J187" s="2" t="s">
        <v>13</v>
      </c>
      <c r="K187" s="2" t="s">
        <v>21</v>
      </c>
      <c r="L187" s="2" t="s">
        <v>37</v>
      </c>
      <c r="M187" s="2" t="s">
        <v>56</v>
      </c>
      <c r="N187" s="1" t="str">
        <f>_xlfn.CONCAT(A187, "-",VLOOKUP(E187,Value!$B$2:$C$8,2,0),"TP: ",J187,K187)</f>
        <v>185-Buy Limit tại mép Buy Zone M1 Major, Cắt lỗ ở đáy Major.TP: FIXED_R2.0</v>
      </c>
      <c r="O187" s="1" t="str">
        <f>VLOOKUP(J187,Value!$B$26:$C$29,2,0)</f>
        <v>Chốt lời cố định theo tỷ lệ R (Risk-Reward).</v>
      </c>
      <c r="P187" s="1" t="str">
        <f>VLOOKUP(L187,Value!$B$34:$C$37,2,0)</f>
        <v>Tắt tính năng Trailing Stop (Bám đuôi).</v>
      </c>
    </row>
    <row r="188" spans="1:16" ht="20.149999999999999" customHeight="1" x14ac:dyDescent="0.3">
      <c r="A188" s="2">
        <v>186</v>
      </c>
      <c r="B188" s="1" t="s">
        <v>18</v>
      </c>
      <c r="C188" s="1" t="s">
        <v>12</v>
      </c>
      <c r="D188" s="1" t="s">
        <v>18</v>
      </c>
      <c r="E188" s="2">
        <v>1</v>
      </c>
      <c r="F188" s="2" t="s">
        <v>19</v>
      </c>
      <c r="G188" s="2">
        <v>0</v>
      </c>
      <c r="H188" s="2">
        <v>0</v>
      </c>
      <c r="I188" s="2">
        <v>0</v>
      </c>
      <c r="J188" s="2" t="s">
        <v>13</v>
      </c>
      <c r="K188" s="2" t="s">
        <v>21</v>
      </c>
      <c r="L188" s="2" t="s">
        <v>37</v>
      </c>
      <c r="M188" s="2" t="s">
        <v>56</v>
      </c>
      <c r="N188" s="1" t="str">
        <f>_xlfn.CONCAT(A188, "-",VLOOKUP(E188,Value!$B$2:$C$8,2,0),"TP: ",J188,K188)</f>
        <v>186-Buy Limit tại mép Buy Zone M1 Major, Cắt lỗ ở đáy Major.TP: FIXED_R2.0</v>
      </c>
      <c r="O188" s="1" t="str">
        <f>VLOOKUP(J188,Value!$B$26:$C$29,2,0)</f>
        <v>Chốt lời cố định theo tỷ lệ R (Risk-Reward).</v>
      </c>
      <c r="P188" s="1" t="str">
        <f>VLOOKUP(L188,Value!$B$34:$C$37,2,0)</f>
        <v>Tắt tính năng Trailing Stop (Bám đuôi).</v>
      </c>
    </row>
    <row r="189" spans="1:16" ht="20.149999999999999" customHeight="1" x14ac:dyDescent="0.3">
      <c r="A189" s="2">
        <v>187</v>
      </c>
      <c r="B189" s="1" t="s">
        <v>18</v>
      </c>
      <c r="C189" s="1" t="s">
        <v>14</v>
      </c>
      <c r="D189" s="1" t="s">
        <v>12</v>
      </c>
      <c r="E189" s="2">
        <v>0</v>
      </c>
      <c r="F189" s="2" t="s">
        <v>19</v>
      </c>
      <c r="G189" s="2">
        <v>0</v>
      </c>
      <c r="H189" s="2">
        <v>0</v>
      </c>
      <c r="I189" s="2">
        <v>0</v>
      </c>
      <c r="J189" s="2" t="s">
        <v>13</v>
      </c>
      <c r="K189" s="2" t="s">
        <v>21</v>
      </c>
      <c r="L189" s="2" t="s">
        <v>37</v>
      </c>
      <c r="M189" s="2" t="s">
        <v>56</v>
      </c>
      <c r="N189" s="1" t="str">
        <f>_xlfn.CONCAT(A189, "-",VLOOKUP(E189,Value!$B$2:$C$8,2,0),"TP: ",J189,K189)</f>
        <v>187-Đứng ngoàiTP: FIXED_R2.0</v>
      </c>
      <c r="O189" s="1" t="str">
        <f>VLOOKUP(J189,Value!$B$26:$C$29,2,0)</f>
        <v>Chốt lời cố định theo tỷ lệ R (Risk-Reward).</v>
      </c>
      <c r="P189" s="1" t="str">
        <f>VLOOKUP(L189,Value!$B$34:$C$37,2,0)</f>
        <v>Tắt tính năng Trailing Stop (Bám đuôi).</v>
      </c>
    </row>
    <row r="190" spans="1:16" ht="20.149999999999999" customHeight="1" x14ac:dyDescent="0.3">
      <c r="A190" s="2">
        <v>188</v>
      </c>
      <c r="B190" s="1" t="s">
        <v>18</v>
      </c>
      <c r="C190" s="1" t="s">
        <v>14</v>
      </c>
      <c r="D190" s="1" t="s">
        <v>14</v>
      </c>
      <c r="E190" s="2">
        <v>0</v>
      </c>
      <c r="F190" s="2" t="s">
        <v>19</v>
      </c>
      <c r="G190" s="2">
        <v>0</v>
      </c>
      <c r="H190" s="2">
        <v>0</v>
      </c>
      <c r="I190" s="2">
        <v>0</v>
      </c>
      <c r="J190" s="2" t="s">
        <v>13</v>
      </c>
      <c r="K190" s="2" t="s">
        <v>21</v>
      </c>
      <c r="L190" s="2" t="s">
        <v>37</v>
      </c>
      <c r="M190" s="2" t="s">
        <v>56</v>
      </c>
      <c r="N190" s="1" t="str">
        <f>_xlfn.CONCAT(A190, "-",VLOOKUP(E190,Value!$B$2:$C$8,2,0),"TP: ",J190,K190)</f>
        <v>188-Đứng ngoàiTP: FIXED_R2.0</v>
      </c>
      <c r="O190" s="1" t="str">
        <f>VLOOKUP(J190,Value!$B$26:$C$29,2,0)</f>
        <v>Chốt lời cố định theo tỷ lệ R (Risk-Reward).</v>
      </c>
      <c r="P190" s="1" t="str">
        <f>VLOOKUP(L190,Value!$B$34:$C$37,2,0)</f>
        <v>Tắt tính năng Trailing Stop (Bám đuôi).</v>
      </c>
    </row>
    <row r="191" spans="1:16" ht="20.149999999999999" customHeight="1" x14ac:dyDescent="0.3">
      <c r="A191" s="2">
        <v>189</v>
      </c>
      <c r="B191" s="1" t="s">
        <v>18</v>
      </c>
      <c r="C191" s="1" t="s">
        <v>14</v>
      </c>
      <c r="D191" s="1" t="s">
        <v>15</v>
      </c>
      <c r="E191" s="2">
        <v>0</v>
      </c>
      <c r="F191" s="2" t="s">
        <v>19</v>
      </c>
      <c r="G191" s="2">
        <v>0</v>
      </c>
      <c r="H191" s="2">
        <v>0</v>
      </c>
      <c r="I191" s="2">
        <v>0</v>
      </c>
      <c r="J191" s="2" t="s">
        <v>13</v>
      </c>
      <c r="K191" s="2" t="s">
        <v>21</v>
      </c>
      <c r="L191" s="2" t="s">
        <v>37</v>
      </c>
      <c r="M191" s="2" t="s">
        <v>56</v>
      </c>
      <c r="N191" s="1" t="str">
        <f>_xlfn.CONCAT(A191, "-",VLOOKUP(E191,Value!$B$2:$C$8,2,0),"TP: ",J191,K191)</f>
        <v>189-Đứng ngoàiTP: FIXED_R2.0</v>
      </c>
      <c r="O191" s="1" t="str">
        <f>VLOOKUP(J191,Value!$B$26:$C$29,2,0)</f>
        <v>Chốt lời cố định theo tỷ lệ R (Risk-Reward).</v>
      </c>
      <c r="P191" s="1" t="str">
        <f>VLOOKUP(L191,Value!$B$34:$C$37,2,0)</f>
        <v>Tắt tính năng Trailing Stop (Bám đuôi).</v>
      </c>
    </row>
    <row r="192" spans="1:16" ht="20.149999999999999" customHeight="1" x14ac:dyDescent="0.3">
      <c r="A192" s="2">
        <v>190</v>
      </c>
      <c r="B192" s="1" t="s">
        <v>18</v>
      </c>
      <c r="C192" s="1" t="s">
        <v>14</v>
      </c>
      <c r="D192" s="1" t="s">
        <v>16</v>
      </c>
      <c r="E192" s="2">
        <v>0</v>
      </c>
      <c r="F192" s="2" t="s">
        <v>19</v>
      </c>
      <c r="G192" s="2">
        <v>0</v>
      </c>
      <c r="H192" s="2">
        <v>0</v>
      </c>
      <c r="I192" s="2">
        <v>0</v>
      </c>
      <c r="J192" s="2" t="s">
        <v>13</v>
      </c>
      <c r="K192" s="2" t="s">
        <v>21</v>
      </c>
      <c r="L192" s="2" t="s">
        <v>37</v>
      </c>
      <c r="M192" s="2" t="s">
        <v>56</v>
      </c>
      <c r="N192" s="1" t="str">
        <f>_xlfn.CONCAT(A192, "-",VLOOKUP(E192,Value!$B$2:$C$8,2,0),"TP: ",J192,K192)</f>
        <v>190-Đứng ngoàiTP: FIXED_R2.0</v>
      </c>
      <c r="O192" s="1" t="str">
        <f>VLOOKUP(J192,Value!$B$26:$C$29,2,0)</f>
        <v>Chốt lời cố định theo tỷ lệ R (Risk-Reward).</v>
      </c>
      <c r="P192" s="1" t="str">
        <f>VLOOKUP(L192,Value!$B$34:$C$37,2,0)</f>
        <v>Tắt tính năng Trailing Stop (Bám đuôi).</v>
      </c>
    </row>
    <row r="193" spans="1:16" ht="20.149999999999999" customHeight="1" x14ac:dyDescent="0.3">
      <c r="A193" s="2">
        <v>191</v>
      </c>
      <c r="B193" s="1" t="s">
        <v>18</v>
      </c>
      <c r="C193" s="1" t="s">
        <v>14</v>
      </c>
      <c r="D193" s="1" t="s">
        <v>17</v>
      </c>
      <c r="E193" s="2">
        <v>0</v>
      </c>
      <c r="F193" s="2" t="s">
        <v>19</v>
      </c>
      <c r="G193" s="2">
        <v>0</v>
      </c>
      <c r="H193" s="2">
        <v>0</v>
      </c>
      <c r="I193" s="2">
        <v>0</v>
      </c>
      <c r="J193" s="2" t="s">
        <v>13</v>
      </c>
      <c r="K193" s="2" t="s">
        <v>21</v>
      </c>
      <c r="L193" s="2" t="s">
        <v>37</v>
      </c>
      <c r="M193" s="2" t="s">
        <v>56</v>
      </c>
      <c r="N193" s="1" t="str">
        <f>_xlfn.CONCAT(A193, "-",VLOOKUP(E193,Value!$B$2:$C$8,2,0),"TP: ",J193,K193)</f>
        <v>191-Đứng ngoàiTP: FIXED_R2.0</v>
      </c>
      <c r="O193" s="1" t="str">
        <f>VLOOKUP(J193,Value!$B$26:$C$29,2,0)</f>
        <v>Chốt lời cố định theo tỷ lệ R (Risk-Reward).</v>
      </c>
      <c r="P193" s="1" t="str">
        <f>VLOOKUP(L193,Value!$B$34:$C$37,2,0)</f>
        <v>Tắt tính năng Trailing Stop (Bám đuôi).</v>
      </c>
    </row>
    <row r="194" spans="1:16" ht="20.149999999999999" customHeight="1" x14ac:dyDescent="0.3">
      <c r="A194" s="2">
        <v>192</v>
      </c>
      <c r="B194" s="1" t="s">
        <v>18</v>
      </c>
      <c r="C194" s="1" t="s">
        <v>14</v>
      </c>
      <c r="D194" s="1" t="s">
        <v>18</v>
      </c>
      <c r="E194" s="2">
        <v>0</v>
      </c>
      <c r="F194" s="2" t="s">
        <v>19</v>
      </c>
      <c r="G194" s="2">
        <v>0</v>
      </c>
      <c r="H194" s="2">
        <v>0</v>
      </c>
      <c r="I194" s="2">
        <v>0</v>
      </c>
      <c r="J194" s="2" t="s">
        <v>13</v>
      </c>
      <c r="K194" s="2" t="s">
        <v>21</v>
      </c>
      <c r="L194" s="2" t="s">
        <v>37</v>
      </c>
      <c r="M194" s="2" t="s">
        <v>56</v>
      </c>
      <c r="N194" s="1" t="str">
        <f>_xlfn.CONCAT(A194, "-",VLOOKUP(E194,Value!$B$2:$C$8,2,0),"TP: ",J194,K194)</f>
        <v>192-Đứng ngoàiTP: FIXED_R2.0</v>
      </c>
      <c r="O194" s="1" t="str">
        <f>VLOOKUP(J194,Value!$B$26:$C$29,2,0)</f>
        <v>Chốt lời cố định theo tỷ lệ R (Risk-Reward).</v>
      </c>
      <c r="P194" s="1" t="str">
        <f>VLOOKUP(L194,Value!$B$34:$C$37,2,0)</f>
        <v>Tắt tính năng Trailing Stop (Bám đuôi).</v>
      </c>
    </row>
    <row r="195" spans="1:16" ht="20.149999999999999" customHeight="1" x14ac:dyDescent="0.3">
      <c r="A195" s="2">
        <v>193</v>
      </c>
      <c r="B195" s="1" t="s">
        <v>18</v>
      </c>
      <c r="C195" s="1" t="s">
        <v>15</v>
      </c>
      <c r="D195" s="1" t="s">
        <v>12</v>
      </c>
      <c r="E195" s="2">
        <v>2</v>
      </c>
      <c r="F195" s="2" t="s">
        <v>19</v>
      </c>
      <c r="G195" s="2">
        <v>0</v>
      </c>
      <c r="H195" s="2">
        <v>0</v>
      </c>
      <c r="I195" s="2">
        <v>0</v>
      </c>
      <c r="J195" s="2" t="s">
        <v>13</v>
      </c>
      <c r="K195" s="2" t="s">
        <v>21</v>
      </c>
      <c r="L195" s="2" t="s">
        <v>37</v>
      </c>
      <c r="M195" s="2" t="s">
        <v>56</v>
      </c>
      <c r="N195" s="1" t="str">
        <f>_xlfn.CONCAT(A195, "-",VLOOKUP(E195,Value!$B$2:$C$8,2,0),"TP: ",J195,K195)</f>
        <v>193-Sell Limit tại mép Sell Zone M1 Major, Cắt lỗ ở đỉnh Major.TP: FIXED_R2.0</v>
      </c>
      <c r="O195" s="1" t="str">
        <f>VLOOKUP(J195,Value!$B$26:$C$29,2,0)</f>
        <v>Chốt lời cố định theo tỷ lệ R (Risk-Reward).</v>
      </c>
      <c r="P195" s="1" t="str">
        <f>VLOOKUP(L195,Value!$B$34:$C$37,2,0)</f>
        <v>Tắt tính năng Trailing Stop (Bám đuôi).</v>
      </c>
    </row>
    <row r="196" spans="1:16" ht="20.149999999999999" customHeight="1" x14ac:dyDescent="0.3">
      <c r="A196" s="2">
        <v>194</v>
      </c>
      <c r="B196" s="1" t="s">
        <v>18</v>
      </c>
      <c r="C196" s="1" t="s">
        <v>15</v>
      </c>
      <c r="D196" s="1" t="s">
        <v>14</v>
      </c>
      <c r="E196" s="2">
        <v>2</v>
      </c>
      <c r="F196" s="2" t="s">
        <v>19</v>
      </c>
      <c r="G196" s="2">
        <v>0</v>
      </c>
      <c r="H196" s="2">
        <v>0</v>
      </c>
      <c r="I196" s="2">
        <v>0</v>
      </c>
      <c r="J196" s="2" t="s">
        <v>13</v>
      </c>
      <c r="K196" s="2" t="s">
        <v>21</v>
      </c>
      <c r="L196" s="2" t="s">
        <v>37</v>
      </c>
      <c r="M196" s="2" t="s">
        <v>56</v>
      </c>
      <c r="N196" s="1" t="str">
        <f>_xlfn.CONCAT(A196, "-",VLOOKUP(E196,Value!$B$2:$C$8,2,0),"TP: ",J196,K196)</f>
        <v>194-Sell Limit tại mép Sell Zone M1 Major, Cắt lỗ ở đỉnh Major.TP: FIXED_R2.0</v>
      </c>
      <c r="O196" s="1" t="str">
        <f>VLOOKUP(J196,Value!$B$26:$C$29,2,0)</f>
        <v>Chốt lời cố định theo tỷ lệ R (Risk-Reward).</v>
      </c>
      <c r="P196" s="1" t="str">
        <f>VLOOKUP(L196,Value!$B$34:$C$37,2,0)</f>
        <v>Tắt tính năng Trailing Stop (Bám đuôi).</v>
      </c>
    </row>
    <row r="197" spans="1:16" ht="20.149999999999999" customHeight="1" x14ac:dyDescent="0.3">
      <c r="A197" s="2">
        <v>195</v>
      </c>
      <c r="B197" s="1" t="s">
        <v>18</v>
      </c>
      <c r="C197" s="1" t="s">
        <v>15</v>
      </c>
      <c r="D197" s="1" t="s">
        <v>15</v>
      </c>
      <c r="E197" s="2">
        <v>2</v>
      </c>
      <c r="F197" s="2" t="s">
        <v>19</v>
      </c>
      <c r="G197" s="2">
        <v>0</v>
      </c>
      <c r="H197" s="2">
        <v>0</v>
      </c>
      <c r="I197" s="2">
        <v>0</v>
      </c>
      <c r="J197" s="2" t="s">
        <v>13</v>
      </c>
      <c r="K197" s="2" t="s">
        <v>21</v>
      </c>
      <c r="L197" s="2" t="s">
        <v>37</v>
      </c>
      <c r="M197" s="2" t="s">
        <v>56</v>
      </c>
      <c r="N197" s="1" t="str">
        <f>_xlfn.CONCAT(A197, "-",VLOOKUP(E197,Value!$B$2:$C$8,2,0),"TP: ",J197,K197)</f>
        <v>195-Sell Limit tại mép Sell Zone M1 Major, Cắt lỗ ở đỉnh Major.TP: FIXED_R2.0</v>
      </c>
      <c r="O197" s="1" t="str">
        <f>VLOOKUP(J197,Value!$B$26:$C$29,2,0)</f>
        <v>Chốt lời cố định theo tỷ lệ R (Risk-Reward).</v>
      </c>
      <c r="P197" s="1" t="str">
        <f>VLOOKUP(L197,Value!$B$34:$C$37,2,0)</f>
        <v>Tắt tính năng Trailing Stop (Bám đuôi).</v>
      </c>
    </row>
    <row r="198" spans="1:16" ht="20.149999999999999" customHeight="1" x14ac:dyDescent="0.3">
      <c r="A198" s="2">
        <v>196</v>
      </c>
      <c r="B198" s="1" t="s">
        <v>18</v>
      </c>
      <c r="C198" s="1" t="s">
        <v>15</v>
      </c>
      <c r="D198" s="1" t="s">
        <v>16</v>
      </c>
      <c r="E198" s="2">
        <v>2</v>
      </c>
      <c r="F198" s="2" t="s">
        <v>19</v>
      </c>
      <c r="G198" s="2">
        <v>0</v>
      </c>
      <c r="H198" s="2">
        <v>0</v>
      </c>
      <c r="I198" s="2">
        <v>0</v>
      </c>
      <c r="J198" s="2" t="s">
        <v>13</v>
      </c>
      <c r="K198" s="2" t="s">
        <v>21</v>
      </c>
      <c r="L198" s="2" t="s">
        <v>37</v>
      </c>
      <c r="M198" s="2" t="s">
        <v>56</v>
      </c>
      <c r="N198" s="1" t="str">
        <f>_xlfn.CONCAT(A198, "-",VLOOKUP(E198,Value!$B$2:$C$8,2,0),"TP: ",J198,K198)</f>
        <v>196-Sell Limit tại mép Sell Zone M1 Major, Cắt lỗ ở đỉnh Major.TP: FIXED_R2.0</v>
      </c>
      <c r="O198" s="1" t="str">
        <f>VLOOKUP(J198,Value!$B$26:$C$29,2,0)</f>
        <v>Chốt lời cố định theo tỷ lệ R (Risk-Reward).</v>
      </c>
      <c r="P198" s="1" t="str">
        <f>VLOOKUP(L198,Value!$B$34:$C$37,2,0)</f>
        <v>Tắt tính năng Trailing Stop (Bám đuôi).</v>
      </c>
    </row>
    <row r="199" spans="1:16" ht="20.149999999999999" customHeight="1" x14ac:dyDescent="0.3">
      <c r="A199" s="2">
        <v>197</v>
      </c>
      <c r="B199" s="1" t="s">
        <v>18</v>
      </c>
      <c r="C199" s="1" t="s">
        <v>15</v>
      </c>
      <c r="D199" s="1" t="s">
        <v>17</v>
      </c>
      <c r="E199" s="2">
        <v>2</v>
      </c>
      <c r="F199" s="2" t="s">
        <v>19</v>
      </c>
      <c r="G199" s="2">
        <v>0</v>
      </c>
      <c r="H199" s="2">
        <v>0</v>
      </c>
      <c r="I199" s="2">
        <v>0</v>
      </c>
      <c r="J199" s="2" t="s">
        <v>13</v>
      </c>
      <c r="K199" s="2" t="s">
        <v>21</v>
      </c>
      <c r="L199" s="2" t="s">
        <v>37</v>
      </c>
      <c r="M199" s="2" t="s">
        <v>56</v>
      </c>
      <c r="N199" s="1" t="str">
        <f>_xlfn.CONCAT(A199, "-",VLOOKUP(E199,Value!$B$2:$C$8,2,0),"TP: ",J199,K199)</f>
        <v>197-Sell Limit tại mép Sell Zone M1 Major, Cắt lỗ ở đỉnh Major.TP: FIXED_R2.0</v>
      </c>
      <c r="O199" s="1" t="str">
        <f>VLOOKUP(J199,Value!$B$26:$C$29,2,0)</f>
        <v>Chốt lời cố định theo tỷ lệ R (Risk-Reward).</v>
      </c>
      <c r="P199" s="1" t="str">
        <f>VLOOKUP(L199,Value!$B$34:$C$37,2,0)</f>
        <v>Tắt tính năng Trailing Stop (Bám đuôi).</v>
      </c>
    </row>
    <row r="200" spans="1:16" ht="20.149999999999999" customHeight="1" x14ac:dyDescent="0.3">
      <c r="A200" s="2">
        <v>198</v>
      </c>
      <c r="B200" s="1" t="s">
        <v>18</v>
      </c>
      <c r="C200" s="1" t="s">
        <v>15</v>
      </c>
      <c r="D200" s="1" t="s">
        <v>18</v>
      </c>
      <c r="E200" s="2">
        <v>2</v>
      </c>
      <c r="F200" s="2" t="s">
        <v>19</v>
      </c>
      <c r="G200" s="2">
        <v>0</v>
      </c>
      <c r="H200" s="2">
        <v>0</v>
      </c>
      <c r="I200" s="2">
        <v>0</v>
      </c>
      <c r="J200" s="2" t="s">
        <v>13</v>
      </c>
      <c r="K200" s="2" t="s">
        <v>21</v>
      </c>
      <c r="L200" s="2" t="s">
        <v>37</v>
      </c>
      <c r="M200" s="2" t="s">
        <v>56</v>
      </c>
      <c r="N200" s="1" t="str">
        <f>_xlfn.CONCAT(A200, "-",VLOOKUP(E200,Value!$B$2:$C$8,2,0),"TP: ",J200,K200)</f>
        <v>198-Sell Limit tại mép Sell Zone M1 Major, Cắt lỗ ở đỉnh Major.TP: FIXED_R2.0</v>
      </c>
      <c r="O200" s="1" t="str">
        <f>VLOOKUP(J200,Value!$B$26:$C$29,2,0)</f>
        <v>Chốt lời cố định theo tỷ lệ R (Risk-Reward).</v>
      </c>
      <c r="P200" s="1" t="str">
        <f>VLOOKUP(L200,Value!$B$34:$C$37,2,0)</f>
        <v>Tắt tính năng Trailing Stop (Bám đuôi).</v>
      </c>
    </row>
    <row r="201" spans="1:16" ht="20.149999999999999" customHeight="1" x14ac:dyDescent="0.3">
      <c r="A201" s="2">
        <v>199</v>
      </c>
      <c r="B201" s="1" t="s">
        <v>18</v>
      </c>
      <c r="C201" s="1" t="s">
        <v>16</v>
      </c>
      <c r="D201" s="1" t="s">
        <v>12</v>
      </c>
      <c r="E201" s="2">
        <v>2</v>
      </c>
      <c r="F201" s="2" t="s">
        <v>19</v>
      </c>
      <c r="G201" s="2">
        <v>0</v>
      </c>
      <c r="H201" s="2">
        <v>0</v>
      </c>
      <c r="I201" s="2">
        <v>0</v>
      </c>
      <c r="J201" s="2" t="s">
        <v>13</v>
      </c>
      <c r="K201" s="2" t="s">
        <v>21</v>
      </c>
      <c r="L201" s="2" t="s">
        <v>37</v>
      </c>
      <c r="M201" s="2" t="s">
        <v>56</v>
      </c>
      <c r="N201" s="1" t="str">
        <f>_xlfn.CONCAT(A201, "-",VLOOKUP(E201,Value!$B$2:$C$8,2,0),"TP: ",J201,K201)</f>
        <v>199-Sell Limit tại mép Sell Zone M1 Major, Cắt lỗ ở đỉnh Major.TP: FIXED_R2.0</v>
      </c>
      <c r="O201" s="1" t="str">
        <f>VLOOKUP(J201,Value!$B$26:$C$29,2,0)</f>
        <v>Chốt lời cố định theo tỷ lệ R (Risk-Reward).</v>
      </c>
      <c r="P201" s="1" t="str">
        <f>VLOOKUP(L201,Value!$B$34:$C$37,2,0)</f>
        <v>Tắt tính năng Trailing Stop (Bám đuôi).</v>
      </c>
    </row>
    <row r="202" spans="1:16" ht="20.149999999999999" customHeight="1" x14ac:dyDescent="0.3">
      <c r="A202" s="2">
        <v>200</v>
      </c>
      <c r="B202" s="1" t="s">
        <v>18</v>
      </c>
      <c r="C202" s="1" t="s">
        <v>16</v>
      </c>
      <c r="D202" s="1" t="s">
        <v>14</v>
      </c>
      <c r="E202" s="2">
        <v>2</v>
      </c>
      <c r="F202" s="2" t="s">
        <v>19</v>
      </c>
      <c r="G202" s="2">
        <v>0</v>
      </c>
      <c r="H202" s="2">
        <v>0</v>
      </c>
      <c r="I202" s="2">
        <v>0</v>
      </c>
      <c r="J202" s="2" t="s">
        <v>13</v>
      </c>
      <c r="K202" s="2" t="s">
        <v>21</v>
      </c>
      <c r="L202" s="2" t="s">
        <v>37</v>
      </c>
      <c r="M202" s="2" t="s">
        <v>56</v>
      </c>
      <c r="N202" s="1" t="str">
        <f>_xlfn.CONCAT(A202, "-",VLOOKUP(E202,Value!$B$2:$C$8,2,0),"TP: ",J202,K202)</f>
        <v>200-Sell Limit tại mép Sell Zone M1 Major, Cắt lỗ ở đỉnh Major.TP: FIXED_R2.0</v>
      </c>
      <c r="O202" s="1" t="str">
        <f>VLOOKUP(J202,Value!$B$26:$C$29,2,0)</f>
        <v>Chốt lời cố định theo tỷ lệ R (Risk-Reward).</v>
      </c>
      <c r="P202" s="1" t="str">
        <f>VLOOKUP(L202,Value!$B$34:$C$37,2,0)</f>
        <v>Tắt tính năng Trailing Stop (Bám đuôi).</v>
      </c>
    </row>
    <row r="203" spans="1:16" ht="20.149999999999999" customHeight="1" x14ac:dyDescent="0.3">
      <c r="A203" s="2">
        <v>201</v>
      </c>
      <c r="B203" s="1" t="s">
        <v>18</v>
      </c>
      <c r="C203" s="1" t="s">
        <v>16</v>
      </c>
      <c r="D203" s="1" t="s">
        <v>15</v>
      </c>
      <c r="E203" s="2">
        <v>2</v>
      </c>
      <c r="F203" s="2" t="s">
        <v>19</v>
      </c>
      <c r="G203" s="2">
        <v>0</v>
      </c>
      <c r="H203" s="2">
        <v>0</v>
      </c>
      <c r="I203" s="2">
        <v>0</v>
      </c>
      <c r="J203" s="2" t="s">
        <v>13</v>
      </c>
      <c r="K203" s="2" t="s">
        <v>21</v>
      </c>
      <c r="L203" s="2" t="s">
        <v>37</v>
      </c>
      <c r="M203" s="2" t="s">
        <v>56</v>
      </c>
      <c r="N203" s="1" t="str">
        <f>_xlfn.CONCAT(A203, "-",VLOOKUP(E203,Value!$B$2:$C$8,2,0),"TP: ",J203,K203)</f>
        <v>201-Sell Limit tại mép Sell Zone M1 Major, Cắt lỗ ở đỉnh Major.TP: FIXED_R2.0</v>
      </c>
      <c r="O203" s="1" t="str">
        <f>VLOOKUP(J203,Value!$B$26:$C$29,2,0)</f>
        <v>Chốt lời cố định theo tỷ lệ R (Risk-Reward).</v>
      </c>
      <c r="P203" s="1" t="str">
        <f>VLOOKUP(L203,Value!$B$34:$C$37,2,0)</f>
        <v>Tắt tính năng Trailing Stop (Bám đuôi).</v>
      </c>
    </row>
    <row r="204" spans="1:16" ht="20.149999999999999" customHeight="1" x14ac:dyDescent="0.3">
      <c r="A204" s="2">
        <v>202</v>
      </c>
      <c r="B204" s="1" t="s">
        <v>18</v>
      </c>
      <c r="C204" s="1" t="s">
        <v>16</v>
      </c>
      <c r="D204" s="1" t="s">
        <v>16</v>
      </c>
      <c r="E204" s="2">
        <v>2</v>
      </c>
      <c r="F204" s="2" t="s">
        <v>19</v>
      </c>
      <c r="G204" s="2">
        <v>0</v>
      </c>
      <c r="H204" s="2">
        <v>0</v>
      </c>
      <c r="I204" s="2">
        <v>0</v>
      </c>
      <c r="J204" s="2" t="s">
        <v>13</v>
      </c>
      <c r="K204" s="2" t="s">
        <v>21</v>
      </c>
      <c r="L204" s="2" t="s">
        <v>37</v>
      </c>
      <c r="M204" s="2" t="s">
        <v>56</v>
      </c>
      <c r="N204" s="1" t="str">
        <f>_xlfn.CONCAT(A204, "-",VLOOKUP(E204,Value!$B$2:$C$8,2,0),"TP: ",J204,K204)</f>
        <v>202-Sell Limit tại mép Sell Zone M1 Major, Cắt lỗ ở đỉnh Major.TP: FIXED_R2.0</v>
      </c>
      <c r="O204" s="1" t="str">
        <f>VLOOKUP(J204,Value!$B$26:$C$29,2,0)</f>
        <v>Chốt lời cố định theo tỷ lệ R (Risk-Reward).</v>
      </c>
      <c r="P204" s="1" t="str">
        <f>VLOOKUP(L204,Value!$B$34:$C$37,2,0)</f>
        <v>Tắt tính năng Trailing Stop (Bám đuôi).</v>
      </c>
    </row>
    <row r="205" spans="1:16" ht="20.149999999999999" customHeight="1" x14ac:dyDescent="0.3">
      <c r="A205" s="2">
        <v>203</v>
      </c>
      <c r="B205" s="1" t="s">
        <v>18</v>
      </c>
      <c r="C205" s="1" t="s">
        <v>16</v>
      </c>
      <c r="D205" s="1" t="s">
        <v>17</v>
      </c>
      <c r="E205" s="2">
        <v>2</v>
      </c>
      <c r="F205" s="2" t="s">
        <v>19</v>
      </c>
      <c r="G205" s="2">
        <v>0</v>
      </c>
      <c r="H205" s="2">
        <v>0</v>
      </c>
      <c r="I205" s="2">
        <v>0</v>
      </c>
      <c r="J205" s="2" t="s">
        <v>13</v>
      </c>
      <c r="K205" s="2" t="s">
        <v>21</v>
      </c>
      <c r="L205" s="2" t="s">
        <v>37</v>
      </c>
      <c r="M205" s="2" t="s">
        <v>56</v>
      </c>
      <c r="N205" s="1" t="str">
        <f>_xlfn.CONCAT(A205, "-",VLOOKUP(E205,Value!$B$2:$C$8,2,0),"TP: ",J205,K205)</f>
        <v>203-Sell Limit tại mép Sell Zone M1 Major, Cắt lỗ ở đỉnh Major.TP: FIXED_R2.0</v>
      </c>
      <c r="O205" s="1" t="str">
        <f>VLOOKUP(J205,Value!$B$26:$C$29,2,0)</f>
        <v>Chốt lời cố định theo tỷ lệ R (Risk-Reward).</v>
      </c>
      <c r="P205" s="1" t="str">
        <f>VLOOKUP(L205,Value!$B$34:$C$37,2,0)</f>
        <v>Tắt tính năng Trailing Stop (Bám đuôi).</v>
      </c>
    </row>
    <row r="206" spans="1:16" ht="20.149999999999999" customHeight="1" x14ac:dyDescent="0.3">
      <c r="A206" s="2">
        <v>204</v>
      </c>
      <c r="B206" s="1" t="s">
        <v>18</v>
      </c>
      <c r="C206" s="1" t="s">
        <v>16</v>
      </c>
      <c r="D206" s="1" t="s">
        <v>18</v>
      </c>
      <c r="E206" s="2">
        <v>2</v>
      </c>
      <c r="F206" s="2" t="s">
        <v>19</v>
      </c>
      <c r="G206" s="2">
        <v>0</v>
      </c>
      <c r="H206" s="2">
        <v>0</v>
      </c>
      <c r="I206" s="2">
        <v>0</v>
      </c>
      <c r="J206" s="2" t="s">
        <v>13</v>
      </c>
      <c r="K206" s="2" t="s">
        <v>21</v>
      </c>
      <c r="L206" s="2" t="s">
        <v>37</v>
      </c>
      <c r="M206" s="2" t="s">
        <v>56</v>
      </c>
      <c r="N206" s="1" t="str">
        <f>_xlfn.CONCAT(A206, "-",VLOOKUP(E206,Value!$B$2:$C$8,2,0),"TP: ",J206,K206)</f>
        <v>204-Sell Limit tại mép Sell Zone M1 Major, Cắt lỗ ở đỉnh Major.TP: FIXED_R2.0</v>
      </c>
      <c r="O206" s="1" t="str">
        <f>VLOOKUP(J206,Value!$B$26:$C$29,2,0)</f>
        <v>Chốt lời cố định theo tỷ lệ R (Risk-Reward).</v>
      </c>
      <c r="P206" s="1" t="str">
        <f>VLOOKUP(L206,Value!$B$34:$C$37,2,0)</f>
        <v>Tắt tính năng Trailing Stop (Bám đuôi).</v>
      </c>
    </row>
    <row r="207" spans="1:16" ht="20.149999999999999" customHeight="1" x14ac:dyDescent="0.3">
      <c r="A207" s="2">
        <v>205</v>
      </c>
      <c r="B207" s="1" t="s">
        <v>18</v>
      </c>
      <c r="C207" s="1" t="s">
        <v>17</v>
      </c>
      <c r="D207" s="1" t="s">
        <v>12</v>
      </c>
      <c r="E207" s="2">
        <v>0</v>
      </c>
      <c r="F207" s="2" t="s">
        <v>19</v>
      </c>
      <c r="G207" s="2">
        <v>0</v>
      </c>
      <c r="H207" s="2">
        <v>0</v>
      </c>
      <c r="I207" s="2">
        <v>0</v>
      </c>
      <c r="J207" s="2" t="s">
        <v>13</v>
      </c>
      <c r="K207" s="2" t="s">
        <v>21</v>
      </c>
      <c r="L207" s="2" t="s">
        <v>37</v>
      </c>
      <c r="M207" s="2" t="s">
        <v>56</v>
      </c>
      <c r="N207" s="1" t="str">
        <f>_xlfn.CONCAT(A207, "-",VLOOKUP(E207,Value!$B$2:$C$8,2,0),"TP: ",J207,K207)</f>
        <v>205-Đứng ngoàiTP: FIXED_R2.0</v>
      </c>
      <c r="O207" s="1" t="str">
        <f>VLOOKUP(J207,Value!$B$26:$C$29,2,0)</f>
        <v>Chốt lời cố định theo tỷ lệ R (Risk-Reward).</v>
      </c>
      <c r="P207" s="1" t="str">
        <f>VLOOKUP(L207,Value!$B$34:$C$37,2,0)</f>
        <v>Tắt tính năng Trailing Stop (Bám đuôi).</v>
      </c>
    </row>
    <row r="208" spans="1:16" ht="20.149999999999999" customHeight="1" x14ac:dyDescent="0.3">
      <c r="A208" s="2">
        <v>206</v>
      </c>
      <c r="B208" s="1" t="s">
        <v>18</v>
      </c>
      <c r="C208" s="1" t="s">
        <v>17</v>
      </c>
      <c r="D208" s="1" t="s">
        <v>14</v>
      </c>
      <c r="E208" s="2">
        <v>0</v>
      </c>
      <c r="F208" s="2" t="s">
        <v>19</v>
      </c>
      <c r="G208" s="2">
        <v>0</v>
      </c>
      <c r="H208" s="2">
        <v>0</v>
      </c>
      <c r="I208" s="2">
        <v>0</v>
      </c>
      <c r="J208" s="2" t="s">
        <v>13</v>
      </c>
      <c r="K208" s="2" t="s">
        <v>21</v>
      </c>
      <c r="L208" s="2" t="s">
        <v>37</v>
      </c>
      <c r="M208" s="2" t="s">
        <v>56</v>
      </c>
      <c r="N208" s="1" t="str">
        <f>_xlfn.CONCAT(A208, "-",VLOOKUP(E208,Value!$B$2:$C$8,2,0),"TP: ",J208,K208)</f>
        <v>206-Đứng ngoàiTP: FIXED_R2.0</v>
      </c>
      <c r="O208" s="1" t="str">
        <f>VLOOKUP(J208,Value!$B$26:$C$29,2,0)</f>
        <v>Chốt lời cố định theo tỷ lệ R (Risk-Reward).</v>
      </c>
      <c r="P208" s="1" t="str">
        <f>VLOOKUP(L208,Value!$B$34:$C$37,2,0)</f>
        <v>Tắt tính năng Trailing Stop (Bám đuôi).</v>
      </c>
    </row>
    <row r="209" spans="1:16" ht="20.149999999999999" customHeight="1" x14ac:dyDescent="0.3">
      <c r="A209" s="2">
        <v>207</v>
      </c>
      <c r="B209" s="1" t="s">
        <v>18</v>
      </c>
      <c r="C209" s="1" t="s">
        <v>17</v>
      </c>
      <c r="D209" s="1" t="s">
        <v>15</v>
      </c>
      <c r="E209" s="2">
        <v>0</v>
      </c>
      <c r="F209" s="2" t="s">
        <v>19</v>
      </c>
      <c r="G209" s="2">
        <v>0</v>
      </c>
      <c r="H209" s="2">
        <v>0</v>
      </c>
      <c r="I209" s="2">
        <v>0</v>
      </c>
      <c r="J209" s="2" t="s">
        <v>13</v>
      </c>
      <c r="K209" s="2" t="s">
        <v>21</v>
      </c>
      <c r="L209" s="2" t="s">
        <v>37</v>
      </c>
      <c r="M209" s="2" t="s">
        <v>56</v>
      </c>
      <c r="N209" s="1" t="str">
        <f>_xlfn.CONCAT(A209, "-",VLOOKUP(E209,Value!$B$2:$C$8,2,0),"TP: ",J209,K209)</f>
        <v>207-Đứng ngoàiTP: FIXED_R2.0</v>
      </c>
      <c r="O209" s="1" t="str">
        <f>VLOOKUP(J209,Value!$B$26:$C$29,2,0)</f>
        <v>Chốt lời cố định theo tỷ lệ R (Risk-Reward).</v>
      </c>
      <c r="P209" s="1" t="str">
        <f>VLOOKUP(L209,Value!$B$34:$C$37,2,0)</f>
        <v>Tắt tính năng Trailing Stop (Bám đuôi).</v>
      </c>
    </row>
    <row r="210" spans="1:16" ht="20.149999999999999" customHeight="1" x14ac:dyDescent="0.3">
      <c r="A210" s="2">
        <v>208</v>
      </c>
      <c r="B210" s="1" t="s">
        <v>18</v>
      </c>
      <c r="C210" s="1" t="s">
        <v>17</v>
      </c>
      <c r="D210" s="1" t="s">
        <v>16</v>
      </c>
      <c r="E210" s="2">
        <v>0</v>
      </c>
      <c r="F210" s="2" t="s">
        <v>19</v>
      </c>
      <c r="G210" s="2">
        <v>0</v>
      </c>
      <c r="H210" s="2">
        <v>0</v>
      </c>
      <c r="I210" s="2">
        <v>0</v>
      </c>
      <c r="J210" s="2" t="s">
        <v>13</v>
      </c>
      <c r="K210" s="2" t="s">
        <v>21</v>
      </c>
      <c r="L210" s="2" t="s">
        <v>37</v>
      </c>
      <c r="M210" s="2" t="s">
        <v>56</v>
      </c>
      <c r="N210" s="1" t="str">
        <f>_xlfn.CONCAT(A210, "-",VLOOKUP(E210,Value!$B$2:$C$8,2,0),"TP: ",J210,K210)</f>
        <v>208-Đứng ngoàiTP: FIXED_R2.0</v>
      </c>
      <c r="O210" s="1" t="str">
        <f>VLOOKUP(J210,Value!$B$26:$C$29,2,0)</f>
        <v>Chốt lời cố định theo tỷ lệ R (Risk-Reward).</v>
      </c>
      <c r="P210" s="1" t="str">
        <f>VLOOKUP(L210,Value!$B$34:$C$37,2,0)</f>
        <v>Tắt tính năng Trailing Stop (Bám đuôi).</v>
      </c>
    </row>
    <row r="211" spans="1:16" ht="20.149999999999999" customHeight="1" x14ac:dyDescent="0.3">
      <c r="A211" s="2">
        <v>209</v>
      </c>
      <c r="B211" s="1" t="s">
        <v>18</v>
      </c>
      <c r="C211" s="1" t="s">
        <v>17</v>
      </c>
      <c r="D211" s="1" t="s">
        <v>17</v>
      </c>
      <c r="E211" s="2">
        <v>0</v>
      </c>
      <c r="F211" s="2" t="s">
        <v>19</v>
      </c>
      <c r="G211" s="2">
        <v>0</v>
      </c>
      <c r="H211" s="2">
        <v>0</v>
      </c>
      <c r="I211" s="2">
        <v>0</v>
      </c>
      <c r="J211" s="2" t="s">
        <v>13</v>
      </c>
      <c r="K211" s="2" t="s">
        <v>21</v>
      </c>
      <c r="L211" s="2" t="s">
        <v>37</v>
      </c>
      <c r="M211" s="2" t="s">
        <v>56</v>
      </c>
      <c r="N211" s="1" t="str">
        <f>_xlfn.CONCAT(A211, "-",VLOOKUP(E211,Value!$B$2:$C$8,2,0),"TP: ",J211,K211)</f>
        <v>209-Đứng ngoàiTP: FIXED_R2.0</v>
      </c>
      <c r="O211" s="1" t="str">
        <f>VLOOKUP(J211,Value!$B$26:$C$29,2,0)</f>
        <v>Chốt lời cố định theo tỷ lệ R (Risk-Reward).</v>
      </c>
      <c r="P211" s="1" t="str">
        <f>VLOOKUP(L211,Value!$B$34:$C$37,2,0)</f>
        <v>Tắt tính năng Trailing Stop (Bám đuôi).</v>
      </c>
    </row>
    <row r="212" spans="1:16" ht="20.149999999999999" customHeight="1" x14ac:dyDescent="0.3">
      <c r="A212" s="2">
        <v>210</v>
      </c>
      <c r="B212" s="1" t="s">
        <v>18</v>
      </c>
      <c r="C212" s="1" t="s">
        <v>17</v>
      </c>
      <c r="D212" s="1" t="s">
        <v>18</v>
      </c>
      <c r="E212" s="2">
        <v>0</v>
      </c>
      <c r="F212" s="2" t="s">
        <v>19</v>
      </c>
      <c r="G212" s="2">
        <v>0</v>
      </c>
      <c r="H212" s="2">
        <v>0</v>
      </c>
      <c r="I212" s="2">
        <v>0</v>
      </c>
      <c r="J212" s="2" t="s">
        <v>13</v>
      </c>
      <c r="K212" s="2" t="s">
        <v>21</v>
      </c>
      <c r="L212" s="2" t="s">
        <v>37</v>
      </c>
      <c r="M212" s="2" t="s">
        <v>56</v>
      </c>
      <c r="N212" s="1" t="str">
        <f>_xlfn.CONCAT(A212, "-",VLOOKUP(E212,Value!$B$2:$C$8,2,0),"TP: ",J212,K212)</f>
        <v>210-Đứng ngoàiTP: FIXED_R2.0</v>
      </c>
      <c r="O212" s="1" t="str">
        <f>VLOOKUP(J212,Value!$B$26:$C$29,2,0)</f>
        <v>Chốt lời cố định theo tỷ lệ R (Risk-Reward).</v>
      </c>
      <c r="P212" s="1" t="str">
        <f>VLOOKUP(L212,Value!$B$34:$C$37,2,0)</f>
        <v>Tắt tính năng Trailing Stop (Bám đuôi).</v>
      </c>
    </row>
    <row r="213" spans="1:16" ht="20.149999999999999" customHeight="1" x14ac:dyDescent="0.3">
      <c r="A213" s="2">
        <v>211</v>
      </c>
      <c r="B213" s="1" t="s">
        <v>18</v>
      </c>
      <c r="C213" s="1" t="s">
        <v>18</v>
      </c>
      <c r="D213" s="1" t="s">
        <v>12</v>
      </c>
      <c r="E213" s="2">
        <v>1</v>
      </c>
      <c r="F213" s="2" t="s">
        <v>19</v>
      </c>
      <c r="G213" s="2">
        <v>0</v>
      </c>
      <c r="H213" s="2">
        <v>0</v>
      </c>
      <c r="I213" s="2">
        <v>0</v>
      </c>
      <c r="J213" s="2" t="s">
        <v>13</v>
      </c>
      <c r="K213" s="2" t="s">
        <v>21</v>
      </c>
      <c r="L213" s="2" t="s">
        <v>37</v>
      </c>
      <c r="M213" s="2" t="s">
        <v>56</v>
      </c>
      <c r="N213" s="1" t="str">
        <f>_xlfn.CONCAT(A213, "-",VLOOKUP(E213,Value!$B$2:$C$8,2,0),"TP: ",J213,K213)</f>
        <v>211-Buy Limit tại mép Buy Zone M1 Major, Cắt lỗ ở đáy Major.TP: FIXED_R2.0</v>
      </c>
      <c r="O213" s="1" t="str">
        <f>VLOOKUP(J213,Value!$B$26:$C$29,2,0)</f>
        <v>Chốt lời cố định theo tỷ lệ R (Risk-Reward).</v>
      </c>
      <c r="P213" s="1" t="str">
        <f>VLOOKUP(L213,Value!$B$34:$C$37,2,0)</f>
        <v>Tắt tính năng Trailing Stop (Bám đuôi).</v>
      </c>
    </row>
    <row r="214" spans="1:16" ht="20.149999999999999" customHeight="1" x14ac:dyDescent="0.3">
      <c r="A214" s="2">
        <v>212</v>
      </c>
      <c r="B214" s="1" t="s">
        <v>18</v>
      </c>
      <c r="C214" s="1" t="s">
        <v>18</v>
      </c>
      <c r="D214" s="1" t="s">
        <v>14</v>
      </c>
      <c r="E214" s="2">
        <v>1</v>
      </c>
      <c r="F214" s="2" t="s">
        <v>19</v>
      </c>
      <c r="G214" s="2">
        <v>0</v>
      </c>
      <c r="H214" s="2">
        <v>0</v>
      </c>
      <c r="I214" s="2">
        <v>0</v>
      </c>
      <c r="J214" s="2" t="s">
        <v>13</v>
      </c>
      <c r="K214" s="2" t="s">
        <v>21</v>
      </c>
      <c r="L214" s="2" t="s">
        <v>37</v>
      </c>
      <c r="M214" s="2" t="s">
        <v>56</v>
      </c>
      <c r="N214" s="1" t="str">
        <f>_xlfn.CONCAT(A214, "-",VLOOKUP(E214,Value!$B$2:$C$8,2,0),"TP: ",J214,K214)</f>
        <v>212-Buy Limit tại mép Buy Zone M1 Major, Cắt lỗ ở đáy Major.TP: FIXED_R2.0</v>
      </c>
      <c r="O214" s="1" t="str">
        <f>VLOOKUP(J214,Value!$B$26:$C$29,2,0)</f>
        <v>Chốt lời cố định theo tỷ lệ R (Risk-Reward).</v>
      </c>
      <c r="P214" s="1" t="str">
        <f>VLOOKUP(L214,Value!$B$34:$C$37,2,0)</f>
        <v>Tắt tính năng Trailing Stop (Bám đuôi).</v>
      </c>
    </row>
    <row r="215" spans="1:16" ht="20.149999999999999" customHeight="1" x14ac:dyDescent="0.3">
      <c r="A215" s="2">
        <v>213</v>
      </c>
      <c r="B215" s="1" t="s">
        <v>18</v>
      </c>
      <c r="C215" s="1" t="s">
        <v>18</v>
      </c>
      <c r="D215" s="1" t="s">
        <v>15</v>
      </c>
      <c r="E215" s="2">
        <v>1</v>
      </c>
      <c r="F215" s="2" t="s">
        <v>19</v>
      </c>
      <c r="G215" s="2">
        <v>0</v>
      </c>
      <c r="H215" s="2">
        <v>0</v>
      </c>
      <c r="I215" s="2">
        <v>0</v>
      </c>
      <c r="J215" s="2" t="s">
        <v>13</v>
      </c>
      <c r="K215" s="2" t="s">
        <v>21</v>
      </c>
      <c r="L215" s="2" t="s">
        <v>37</v>
      </c>
      <c r="M215" s="2" t="s">
        <v>56</v>
      </c>
      <c r="N215" s="1" t="str">
        <f>_xlfn.CONCAT(A215, "-",VLOOKUP(E215,Value!$B$2:$C$8,2,0),"TP: ",J215,K215)</f>
        <v>213-Buy Limit tại mép Buy Zone M1 Major, Cắt lỗ ở đáy Major.TP: FIXED_R2.0</v>
      </c>
      <c r="O215" s="1" t="str">
        <f>VLOOKUP(J215,Value!$B$26:$C$29,2,0)</f>
        <v>Chốt lời cố định theo tỷ lệ R (Risk-Reward).</v>
      </c>
      <c r="P215" s="1" t="str">
        <f>VLOOKUP(L215,Value!$B$34:$C$37,2,0)</f>
        <v>Tắt tính năng Trailing Stop (Bám đuôi).</v>
      </c>
    </row>
    <row r="216" spans="1:16" ht="20.149999999999999" customHeight="1" x14ac:dyDescent="0.3">
      <c r="A216" s="2">
        <v>214</v>
      </c>
      <c r="B216" s="1" t="s">
        <v>18</v>
      </c>
      <c r="C216" s="1" t="s">
        <v>18</v>
      </c>
      <c r="D216" s="1" t="s">
        <v>16</v>
      </c>
      <c r="E216" s="2">
        <v>1</v>
      </c>
      <c r="F216" s="2" t="s">
        <v>19</v>
      </c>
      <c r="G216" s="2">
        <v>0</v>
      </c>
      <c r="H216" s="2">
        <v>0</v>
      </c>
      <c r="I216" s="2">
        <v>0</v>
      </c>
      <c r="J216" s="2" t="s">
        <v>13</v>
      </c>
      <c r="K216" s="2" t="s">
        <v>21</v>
      </c>
      <c r="L216" s="2" t="s">
        <v>37</v>
      </c>
      <c r="M216" s="2" t="s">
        <v>56</v>
      </c>
      <c r="N216" s="1" t="str">
        <f>_xlfn.CONCAT(A216, "-",VLOOKUP(E216,Value!$B$2:$C$8,2,0),"TP: ",J216,K216)</f>
        <v>214-Buy Limit tại mép Buy Zone M1 Major, Cắt lỗ ở đáy Major.TP: FIXED_R2.0</v>
      </c>
      <c r="O216" s="1" t="str">
        <f>VLOOKUP(J216,Value!$B$26:$C$29,2,0)</f>
        <v>Chốt lời cố định theo tỷ lệ R (Risk-Reward).</v>
      </c>
      <c r="P216" s="1" t="str">
        <f>VLOOKUP(L216,Value!$B$34:$C$37,2,0)</f>
        <v>Tắt tính năng Trailing Stop (Bám đuôi).</v>
      </c>
    </row>
    <row r="217" spans="1:16" ht="20.149999999999999" customHeight="1" x14ac:dyDescent="0.3">
      <c r="A217" s="2">
        <v>215</v>
      </c>
      <c r="B217" s="1" t="s">
        <v>18</v>
      </c>
      <c r="C217" s="1" t="s">
        <v>18</v>
      </c>
      <c r="D217" s="1" t="s">
        <v>17</v>
      </c>
      <c r="E217" s="2">
        <v>1</v>
      </c>
      <c r="F217" s="2" t="s">
        <v>19</v>
      </c>
      <c r="G217" s="2">
        <v>0</v>
      </c>
      <c r="H217" s="2">
        <v>0</v>
      </c>
      <c r="I217" s="2">
        <v>0</v>
      </c>
      <c r="J217" s="2" t="s">
        <v>13</v>
      </c>
      <c r="K217" s="2" t="s">
        <v>21</v>
      </c>
      <c r="L217" s="2" t="s">
        <v>37</v>
      </c>
      <c r="M217" s="2" t="s">
        <v>56</v>
      </c>
      <c r="N217" s="1" t="str">
        <f>_xlfn.CONCAT(A217, "-",VLOOKUP(E217,Value!$B$2:$C$8,2,0),"TP: ",J217,K217)</f>
        <v>215-Buy Limit tại mép Buy Zone M1 Major, Cắt lỗ ở đáy Major.TP: FIXED_R2.0</v>
      </c>
      <c r="O217" s="1" t="str">
        <f>VLOOKUP(J217,Value!$B$26:$C$29,2,0)</f>
        <v>Chốt lời cố định theo tỷ lệ R (Risk-Reward).</v>
      </c>
      <c r="P217" s="1" t="str">
        <f>VLOOKUP(L217,Value!$B$34:$C$37,2,0)</f>
        <v>Tắt tính năng Trailing Stop (Bám đuôi).</v>
      </c>
    </row>
    <row r="218" spans="1:16" ht="20.149999999999999" customHeight="1" x14ac:dyDescent="0.3">
      <c r="A218" s="2">
        <v>216</v>
      </c>
      <c r="B218" s="1" t="s">
        <v>18</v>
      </c>
      <c r="C218" s="1" t="s">
        <v>18</v>
      </c>
      <c r="D218" s="1" t="s">
        <v>18</v>
      </c>
      <c r="E218" s="2">
        <v>1</v>
      </c>
      <c r="F218" s="2" t="s">
        <v>19</v>
      </c>
      <c r="G218" s="2">
        <v>0</v>
      </c>
      <c r="H218" s="2">
        <v>0</v>
      </c>
      <c r="I218" s="2">
        <v>0</v>
      </c>
      <c r="J218" s="2" t="s">
        <v>13</v>
      </c>
      <c r="K218" s="2" t="s">
        <v>21</v>
      </c>
      <c r="L218" s="2" t="s">
        <v>37</v>
      </c>
      <c r="M218" s="2" t="s">
        <v>56</v>
      </c>
      <c r="N218" s="1" t="str">
        <f>_xlfn.CONCAT(A218, "-",VLOOKUP(E218,Value!$B$2:$C$8,2,0),"TP: ",J218,K218)</f>
        <v>216-Buy Limit tại mép Buy Zone M1 Major, Cắt lỗ ở đáy Major.TP: FIXED_R2.0</v>
      </c>
      <c r="O218" s="1" t="str">
        <f>VLOOKUP(J218,Value!$B$26:$C$29,2,0)</f>
        <v>Chốt lời cố định theo tỷ lệ R (Risk-Reward).</v>
      </c>
      <c r="P218" s="1" t="str">
        <f>VLOOKUP(L218,Value!$B$34:$C$37,2,0)</f>
        <v>Tắt tính năng Trailing Stop (Bám đuôi).</v>
      </c>
    </row>
  </sheetData>
  <autoFilter ref="A2:P218" xr:uid="{00000000-0001-0000-0000-000000000000}"/>
  <dataValidations count="9">
    <dataValidation type="list" allowBlank="1" showInputMessage="1" showErrorMessage="1" sqref="G207:I212 G189:I194 G9:I14 G27:I32 G45:I50 G63:I68 G81:I86 G99:I104 G117:I122 G135:I140 G153:I158 G171:I176 E3:E1048576" xr:uid="{00000000-0002-0000-0000-000000000000}">
      <formula1>Entry_Type</formula1>
    </dataValidation>
    <dataValidation type="list" allowBlank="1" showInputMessage="1" showErrorMessage="1" sqref="F3:F1048576" xr:uid="{00000000-0002-0000-0000-000001000000}">
      <formula1>Risk_Multiplier</formula1>
    </dataValidation>
    <dataValidation type="list" allowBlank="1" showInputMessage="1" showErrorMessage="1" sqref="G3:G8 G15:G26 G33:G44 G51:G62 G69:G80 G87:G98 G105:G116 G123:G134 G141:G152 G159:G170 G177:G188 G195:G206 G213:G1048576" xr:uid="{00000000-0002-0000-0000-000002000000}">
      <formula1>BE_Trigger_R</formula1>
    </dataValidation>
    <dataValidation type="list" allowBlank="1" showInputMessage="1" showErrorMessage="1" sqref="H3:H8 H15:H26 H33:H44 H51:H62 H69:H80 H87:H98 H105:H116 H123:H134 H141:H152 H159:H170 H177:H188 H195:H206 H213:H1048576" xr:uid="{00000000-0002-0000-0000-000003000000}">
      <formula1>Partial_R</formula1>
    </dataValidation>
    <dataValidation type="list" allowBlank="1" showInputMessage="1" showErrorMessage="1" sqref="I3:I8 I15:I26 I33:I44 I51:I62 I69:I80 I87:I98 I105:I116 I123:I134 I141:I152 I159:I170 I177:I188 I195:I206 I213:I1048576" xr:uid="{00000000-0002-0000-0000-000004000000}">
      <formula1>Partial_Pct</formula1>
    </dataValidation>
    <dataValidation type="list" allowBlank="1" showInputMessage="1" showErrorMessage="1" sqref="J3:J1048576" xr:uid="{00000000-0002-0000-0000-000005000000}">
      <formula1>TP_Strategy</formula1>
    </dataValidation>
    <dataValidation type="list" allowBlank="1" showInputMessage="1" showErrorMessage="1" sqref="K3:K1048576" xr:uid="{00000000-0002-0000-0000-000006000000}">
      <formula1>TP_Param</formula1>
    </dataValidation>
    <dataValidation type="list" allowBlank="1" showInputMessage="1" showErrorMessage="1" sqref="L3:L1048576" xr:uid="{00000000-0002-0000-0000-000007000000}">
      <formula1>Trail_Strategy</formula1>
    </dataValidation>
    <dataValidation type="list" allowBlank="1" showInputMessage="1" showErrorMessage="1" sqref="M3:M218" xr:uid="{27F95D9E-5CDE-4A92-A453-3C0D47CFF458}">
      <formula1>Location_Filter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E17"/>
  <sheetViews>
    <sheetView workbookViewId="0">
      <selection activeCell="E26" sqref="E26"/>
    </sheetView>
  </sheetViews>
  <sheetFormatPr defaultColWidth="47.83203125" defaultRowHeight="14" x14ac:dyDescent="0.3"/>
  <cols>
    <col min="1" max="1" width="10.83203125" bestFit="1" customWidth="1"/>
    <col min="2" max="2" width="11.83203125" bestFit="1" customWidth="1"/>
    <col min="3" max="3" width="11.1640625" bestFit="1" customWidth="1"/>
    <col min="4" max="4" width="10.83203125" bestFit="1" customWidth="1"/>
    <col min="5" max="5" width="15.75" bestFit="1" customWidth="1"/>
  </cols>
  <sheetData>
    <row r="1" spans="1:5" x14ac:dyDescent="0.3">
      <c r="A1" s="8" t="s">
        <v>51</v>
      </c>
      <c r="B1" s="8" t="s">
        <v>54</v>
      </c>
      <c r="C1" s="8" t="s">
        <v>52</v>
      </c>
      <c r="D1" s="8" t="s">
        <v>53</v>
      </c>
      <c r="E1" s="8" t="s">
        <v>41</v>
      </c>
    </row>
    <row r="2" spans="1:5" hidden="1" x14ac:dyDescent="0.3">
      <c r="A2" s="9" t="s">
        <v>42</v>
      </c>
      <c r="B2" s="9" t="s">
        <v>42</v>
      </c>
      <c r="C2" s="9" t="s">
        <v>42</v>
      </c>
      <c r="D2" s="9" t="s">
        <v>42</v>
      </c>
      <c r="E2" s="9" t="s">
        <v>43</v>
      </c>
    </row>
    <row r="3" spans="1:5" hidden="1" x14ac:dyDescent="0.3">
      <c r="A3" s="9" t="s">
        <v>42</v>
      </c>
      <c r="B3" s="9" t="s">
        <v>42</v>
      </c>
      <c r="C3" s="9" t="s">
        <v>42</v>
      </c>
      <c r="D3" s="9" t="s">
        <v>44</v>
      </c>
      <c r="E3" s="9" t="s">
        <v>45</v>
      </c>
    </row>
    <row r="4" spans="1:5" hidden="1" x14ac:dyDescent="0.3">
      <c r="A4" s="9" t="s">
        <v>42</v>
      </c>
      <c r="B4" s="9" t="s">
        <v>42</v>
      </c>
      <c r="C4" s="9" t="s">
        <v>44</v>
      </c>
      <c r="D4" s="9" t="s">
        <v>42</v>
      </c>
      <c r="E4" s="9" t="s">
        <v>46</v>
      </c>
    </row>
    <row r="5" spans="1:5" hidden="1" x14ac:dyDescent="0.3">
      <c r="A5" s="9" t="s">
        <v>42</v>
      </c>
      <c r="B5" s="9" t="s">
        <v>42</v>
      </c>
      <c r="C5" s="9" t="s">
        <v>44</v>
      </c>
      <c r="D5" s="9" t="s">
        <v>44</v>
      </c>
      <c r="E5" s="9" t="s">
        <v>45</v>
      </c>
    </row>
    <row r="6" spans="1:5" hidden="1" x14ac:dyDescent="0.3">
      <c r="A6" s="9" t="s">
        <v>42</v>
      </c>
      <c r="B6" s="9" t="s">
        <v>44</v>
      </c>
      <c r="C6" s="9" t="s">
        <v>42</v>
      </c>
      <c r="D6" s="9" t="s">
        <v>42</v>
      </c>
      <c r="E6" s="9" t="s">
        <v>47</v>
      </c>
    </row>
    <row r="7" spans="1:5" hidden="1" x14ac:dyDescent="0.3">
      <c r="A7" s="9" t="s">
        <v>42</v>
      </c>
      <c r="B7" s="9" t="s">
        <v>44</v>
      </c>
      <c r="C7" s="9" t="s">
        <v>42</v>
      </c>
      <c r="D7" s="9" t="s">
        <v>44</v>
      </c>
      <c r="E7" s="9" t="s">
        <v>45</v>
      </c>
    </row>
    <row r="8" spans="1:5" hidden="1" x14ac:dyDescent="0.3">
      <c r="A8" s="9" t="s">
        <v>42</v>
      </c>
      <c r="B8" s="9" t="s">
        <v>44</v>
      </c>
      <c r="C8" s="9" t="s">
        <v>44</v>
      </c>
      <c r="D8" s="9" t="s">
        <v>44</v>
      </c>
      <c r="E8" s="9" t="s">
        <v>45</v>
      </c>
    </row>
    <row r="9" spans="1:5" hidden="1" x14ac:dyDescent="0.3">
      <c r="A9" s="9" t="s">
        <v>42</v>
      </c>
      <c r="B9" s="9" t="s">
        <v>44</v>
      </c>
      <c r="C9" s="9" t="s">
        <v>44</v>
      </c>
      <c r="D9" s="9" t="s">
        <v>42</v>
      </c>
      <c r="E9" s="9" t="s">
        <v>45</v>
      </c>
    </row>
    <row r="10" spans="1:5" x14ac:dyDescent="0.3">
      <c r="A10" s="9" t="s">
        <v>44</v>
      </c>
      <c r="B10" s="9" t="s">
        <v>44</v>
      </c>
      <c r="C10" s="9" t="s">
        <v>44</v>
      </c>
      <c r="D10" s="9" t="s">
        <v>44</v>
      </c>
      <c r="E10" s="9" t="s">
        <v>48</v>
      </c>
    </row>
    <row r="11" spans="1:5" hidden="1" x14ac:dyDescent="0.3">
      <c r="A11" s="9" t="s">
        <v>44</v>
      </c>
      <c r="B11" s="9" t="s">
        <v>44</v>
      </c>
      <c r="C11" s="9" t="s">
        <v>44</v>
      </c>
      <c r="D11" s="9" t="s">
        <v>42</v>
      </c>
      <c r="E11" s="9" t="s">
        <v>45</v>
      </c>
    </row>
    <row r="12" spans="1:5" hidden="1" x14ac:dyDescent="0.3">
      <c r="A12" s="9" t="s">
        <v>44</v>
      </c>
      <c r="B12" s="9" t="s">
        <v>44</v>
      </c>
      <c r="C12" s="9" t="s">
        <v>42</v>
      </c>
      <c r="D12" s="9" t="s">
        <v>44</v>
      </c>
      <c r="E12" s="9" t="s">
        <v>49</v>
      </c>
    </row>
    <row r="13" spans="1:5" hidden="1" x14ac:dyDescent="0.3">
      <c r="A13" s="9" t="s">
        <v>44</v>
      </c>
      <c r="B13" s="9" t="s">
        <v>44</v>
      </c>
      <c r="C13" s="9" t="s">
        <v>42</v>
      </c>
      <c r="D13" s="9" t="s">
        <v>42</v>
      </c>
      <c r="E13" s="9" t="s">
        <v>45</v>
      </c>
    </row>
    <row r="14" spans="1:5" hidden="1" x14ac:dyDescent="0.3">
      <c r="A14" s="9" t="s">
        <v>44</v>
      </c>
      <c r="B14" s="9" t="s">
        <v>42</v>
      </c>
      <c r="C14" s="9" t="s">
        <v>44</v>
      </c>
      <c r="D14" s="9" t="s">
        <v>44</v>
      </c>
      <c r="E14" s="9" t="s">
        <v>50</v>
      </c>
    </row>
    <row r="15" spans="1:5" hidden="1" x14ac:dyDescent="0.3">
      <c r="A15" s="9" t="s">
        <v>44</v>
      </c>
      <c r="B15" s="9" t="s">
        <v>42</v>
      </c>
      <c r="C15" s="9" t="s">
        <v>44</v>
      </c>
      <c r="D15" s="9" t="s">
        <v>42</v>
      </c>
      <c r="E15" s="9" t="s">
        <v>45</v>
      </c>
    </row>
    <row r="16" spans="1:5" hidden="1" x14ac:dyDescent="0.3">
      <c r="A16" s="9" t="s">
        <v>44</v>
      </c>
      <c r="B16" s="9" t="s">
        <v>42</v>
      </c>
      <c r="C16" s="9" t="s">
        <v>42</v>
      </c>
      <c r="D16" s="9" t="s">
        <v>42</v>
      </c>
      <c r="E16" s="9" t="s">
        <v>45</v>
      </c>
    </row>
    <row r="17" spans="1:5" hidden="1" x14ac:dyDescent="0.3">
      <c r="A17" s="9" t="s">
        <v>44</v>
      </c>
      <c r="B17" s="9" t="s">
        <v>42</v>
      </c>
      <c r="C17" s="9" t="s">
        <v>42</v>
      </c>
      <c r="D17" s="9" t="s">
        <v>44</v>
      </c>
      <c r="E17" s="9" t="s">
        <v>45</v>
      </c>
    </row>
  </sheetData>
  <autoFilter ref="A1:E17" xr:uid="{00000000-0009-0000-0000-000001000000}">
    <filterColumn colId="0">
      <filters>
        <filter val="Giảm"/>
      </filters>
    </filterColumn>
    <filterColumn colId="1">
      <filters>
        <filter val="Giảm"/>
      </filters>
    </filterColumn>
    <filterColumn colId="2">
      <filters>
        <filter val="Giảm"/>
      </filters>
    </filterColumn>
    <filterColumn colId="3">
      <filters>
        <filter val="Giảm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BDE31-130F-4306-B1E7-0124625E7096}">
  <dimension ref="A1:D40"/>
  <sheetViews>
    <sheetView workbookViewId="0">
      <selection activeCell="B4" sqref="B4"/>
    </sheetView>
  </sheetViews>
  <sheetFormatPr defaultRowHeight="14" x14ac:dyDescent="0.3"/>
  <cols>
    <col min="1" max="1" width="17.75" style="11" bestFit="1" customWidth="1"/>
    <col min="2" max="2" width="30.4140625" style="11" bestFit="1" customWidth="1"/>
    <col min="3" max="3" width="78.6640625" style="11" bestFit="1" customWidth="1"/>
    <col min="4" max="16384" width="8.6640625" style="11"/>
  </cols>
  <sheetData>
    <row r="1" spans="1:4" ht="14.5" thickBot="1" x14ac:dyDescent="0.35">
      <c r="A1" s="10" t="s">
        <v>57</v>
      </c>
      <c r="B1" s="10" t="s">
        <v>58</v>
      </c>
      <c r="C1" s="10" t="s">
        <v>59</v>
      </c>
    </row>
    <row r="2" spans="1:4" s="13" customFormat="1" ht="14.5" thickBot="1" x14ac:dyDescent="0.35">
      <c r="A2" s="12" t="s">
        <v>3</v>
      </c>
      <c r="B2" s="12">
        <v>0</v>
      </c>
      <c r="C2" s="12" t="s">
        <v>45</v>
      </c>
      <c r="D2" s="13" t="s">
        <v>91</v>
      </c>
    </row>
    <row r="3" spans="1:4" ht="14.5" thickBot="1" x14ac:dyDescent="0.35">
      <c r="A3" s="10"/>
      <c r="B3" s="10">
        <v>1</v>
      </c>
      <c r="C3" s="10" t="s">
        <v>60</v>
      </c>
    </row>
    <row r="4" spans="1:4" ht="14.5" thickBot="1" x14ac:dyDescent="0.35">
      <c r="A4" s="10"/>
      <c r="B4" s="17">
        <v>2</v>
      </c>
      <c r="C4" s="10" t="s">
        <v>61</v>
      </c>
    </row>
    <row r="5" spans="1:4" ht="14.5" thickBot="1" x14ac:dyDescent="0.35">
      <c r="A5" s="10"/>
      <c r="B5" s="10">
        <v>3</v>
      </c>
      <c r="C5" s="10" t="s">
        <v>62</v>
      </c>
    </row>
    <row r="6" spans="1:4" ht="14.5" thickBot="1" x14ac:dyDescent="0.35">
      <c r="A6" s="10"/>
      <c r="B6" s="17">
        <v>4</v>
      </c>
      <c r="C6" s="10" t="s">
        <v>63</v>
      </c>
    </row>
    <row r="7" spans="1:4" ht="14.5" thickBot="1" x14ac:dyDescent="0.35">
      <c r="A7" s="10"/>
      <c r="B7" s="10">
        <v>5</v>
      </c>
      <c r="C7" s="10" t="s">
        <v>64</v>
      </c>
    </row>
    <row r="8" spans="1:4" ht="14.5" thickBot="1" x14ac:dyDescent="0.35">
      <c r="A8" s="10"/>
      <c r="B8" s="17">
        <v>6</v>
      </c>
      <c r="C8" s="10" t="s">
        <v>65</v>
      </c>
    </row>
    <row r="9" spans="1:4" s="13" customFormat="1" ht="14.5" thickBot="1" x14ac:dyDescent="0.35">
      <c r="A9" s="12" t="s">
        <v>4</v>
      </c>
      <c r="B9" s="12" t="s">
        <v>19</v>
      </c>
      <c r="C9" s="12" t="s">
        <v>66</v>
      </c>
    </row>
    <row r="10" spans="1:4" ht="14.5" thickBot="1" x14ac:dyDescent="0.35">
      <c r="A10" s="10"/>
      <c r="B10" s="10" t="s">
        <v>20</v>
      </c>
      <c r="C10" s="10" t="s">
        <v>67</v>
      </c>
    </row>
    <row r="11" spans="1:4" ht="14.5" thickBot="1" x14ac:dyDescent="0.35">
      <c r="A11" s="10"/>
      <c r="B11" s="10" t="s">
        <v>21</v>
      </c>
      <c r="C11" s="10" t="s">
        <v>68</v>
      </c>
    </row>
    <row r="12" spans="1:4" s="13" customFormat="1" ht="14.5" thickBot="1" x14ac:dyDescent="0.35">
      <c r="A12" s="12" t="s">
        <v>5</v>
      </c>
      <c r="B12" s="12">
        <v>0</v>
      </c>
      <c r="C12" s="12" t="s">
        <v>69</v>
      </c>
    </row>
    <row r="13" spans="1:4" ht="14.5" thickBot="1" x14ac:dyDescent="0.35">
      <c r="A13" s="10"/>
      <c r="B13" s="10" t="s">
        <v>19</v>
      </c>
      <c r="C13" s="10" t="s">
        <v>89</v>
      </c>
    </row>
    <row r="14" spans="1:4" ht="14.5" thickBot="1" x14ac:dyDescent="0.35">
      <c r="A14" s="10"/>
      <c r="B14" s="10" t="s">
        <v>22</v>
      </c>
      <c r="C14" s="10" t="s">
        <v>89</v>
      </c>
    </row>
    <row r="15" spans="1:4" ht="14.5" thickBot="1" x14ac:dyDescent="0.35">
      <c r="A15" s="10"/>
      <c r="B15" s="10" t="s">
        <v>21</v>
      </c>
      <c r="C15" s="10" t="s">
        <v>89</v>
      </c>
    </row>
    <row r="16" spans="1:4" s="13" customFormat="1" ht="14.5" thickBot="1" x14ac:dyDescent="0.35">
      <c r="A16" s="12" t="s">
        <v>6</v>
      </c>
      <c r="B16" s="12">
        <v>0</v>
      </c>
      <c r="C16" s="12" t="s">
        <v>70</v>
      </c>
    </row>
    <row r="17" spans="1:4" ht="14.5" thickBot="1" x14ac:dyDescent="0.35">
      <c r="A17" s="10"/>
      <c r="B17" s="10" t="s">
        <v>19</v>
      </c>
      <c r="C17" s="10" t="s">
        <v>71</v>
      </c>
    </row>
    <row r="18" spans="1:4" ht="14.5" thickBot="1" x14ac:dyDescent="0.35">
      <c r="A18" s="10"/>
      <c r="B18" s="10" t="s">
        <v>21</v>
      </c>
      <c r="C18" s="10" t="s">
        <v>71</v>
      </c>
    </row>
    <row r="19" spans="1:4" ht="14.5" thickBot="1" x14ac:dyDescent="0.35">
      <c r="A19" s="10"/>
      <c r="B19" s="10" t="s">
        <v>86</v>
      </c>
      <c r="C19" s="10" t="s">
        <v>71</v>
      </c>
    </row>
    <row r="20" spans="1:4" ht="14.5" thickBot="1" x14ac:dyDescent="0.35">
      <c r="A20" s="10"/>
      <c r="B20" s="10" t="s">
        <v>87</v>
      </c>
      <c r="C20" s="10" t="s">
        <v>71</v>
      </c>
    </row>
    <row r="21" spans="1:4" s="13" customFormat="1" ht="14.5" thickBot="1" x14ac:dyDescent="0.35">
      <c r="A21" s="12" t="s">
        <v>7</v>
      </c>
      <c r="B21" s="12">
        <v>20</v>
      </c>
      <c r="C21" s="12" t="s">
        <v>92</v>
      </c>
      <c r="D21" s="13" t="s">
        <v>72</v>
      </c>
    </row>
    <row r="22" spans="1:4" s="15" customFormat="1" ht="14.5" thickBot="1" x14ac:dyDescent="0.35">
      <c r="A22" s="14"/>
      <c r="B22" s="16">
        <v>30</v>
      </c>
      <c r="C22" s="16" t="s">
        <v>93</v>
      </c>
    </row>
    <row r="23" spans="1:4" s="15" customFormat="1" ht="14.5" thickBot="1" x14ac:dyDescent="0.35">
      <c r="A23" s="14"/>
      <c r="B23" s="16">
        <v>50</v>
      </c>
      <c r="C23" s="16" t="s">
        <v>94</v>
      </c>
    </row>
    <row r="24" spans="1:4" s="15" customFormat="1" ht="14.5" thickBot="1" x14ac:dyDescent="0.35">
      <c r="A24" s="14"/>
      <c r="B24" s="16">
        <v>80</v>
      </c>
      <c r="C24" s="16" t="s">
        <v>95</v>
      </c>
    </row>
    <row r="25" spans="1:4" s="15" customFormat="1" ht="14.5" thickBot="1" x14ac:dyDescent="0.35">
      <c r="A25" s="14"/>
      <c r="B25" s="16">
        <v>100</v>
      </c>
      <c r="C25" s="16" t="s">
        <v>96</v>
      </c>
    </row>
    <row r="26" spans="1:4" s="13" customFormat="1" ht="14.5" thickBot="1" x14ac:dyDescent="0.35">
      <c r="A26" s="12" t="s">
        <v>8</v>
      </c>
      <c r="B26" s="12" t="s">
        <v>13</v>
      </c>
      <c r="C26" s="12" t="s">
        <v>73</v>
      </c>
    </row>
    <row r="27" spans="1:4" ht="14.5" thickBot="1" x14ac:dyDescent="0.35">
      <c r="A27" s="10"/>
      <c r="B27" s="10" t="s">
        <v>35</v>
      </c>
      <c r="C27" s="10" t="s">
        <v>74</v>
      </c>
    </row>
    <row r="28" spans="1:4" ht="14.5" thickBot="1" x14ac:dyDescent="0.35">
      <c r="A28" s="10"/>
      <c r="B28" s="10" t="s">
        <v>23</v>
      </c>
      <c r="C28" s="10" t="s">
        <v>75</v>
      </c>
    </row>
    <row r="29" spans="1:4" ht="14.5" thickBot="1" x14ac:dyDescent="0.35">
      <c r="A29" s="10"/>
      <c r="B29" s="10" t="s">
        <v>36</v>
      </c>
      <c r="C29" s="10" t="s">
        <v>76</v>
      </c>
    </row>
    <row r="30" spans="1:4" s="13" customFormat="1" ht="39.5" thickBot="1" x14ac:dyDescent="0.35">
      <c r="A30" s="12" t="s">
        <v>9</v>
      </c>
      <c r="B30" s="12" t="s">
        <v>21</v>
      </c>
      <c r="C30" s="12" t="s">
        <v>77</v>
      </c>
    </row>
    <row r="31" spans="1:4" ht="14.5" thickBot="1" x14ac:dyDescent="0.35">
      <c r="A31" s="10"/>
      <c r="B31" s="10" t="s">
        <v>86</v>
      </c>
      <c r="C31" s="10"/>
    </row>
    <row r="32" spans="1:4" ht="14.5" thickBot="1" x14ac:dyDescent="0.35">
      <c r="A32" s="10"/>
      <c r="B32" s="10" t="s">
        <v>87</v>
      </c>
      <c r="C32" s="10"/>
    </row>
    <row r="33" spans="1:3" ht="14.5" thickBot="1" x14ac:dyDescent="0.35">
      <c r="A33" s="10"/>
      <c r="B33" s="10" t="s">
        <v>88</v>
      </c>
      <c r="C33" s="10"/>
    </row>
    <row r="34" spans="1:3" s="13" customFormat="1" ht="14.5" thickBot="1" x14ac:dyDescent="0.35">
      <c r="A34" s="12" t="s">
        <v>10</v>
      </c>
      <c r="B34" s="12" t="s">
        <v>37</v>
      </c>
      <c r="C34" s="12" t="s">
        <v>78</v>
      </c>
    </row>
    <row r="35" spans="1:3" ht="14.5" thickBot="1" x14ac:dyDescent="0.35">
      <c r="A35" s="10"/>
      <c r="B35" s="10" t="s">
        <v>38</v>
      </c>
      <c r="C35" s="10" t="s">
        <v>79</v>
      </c>
    </row>
    <row r="36" spans="1:3" ht="14.5" thickBot="1" x14ac:dyDescent="0.35">
      <c r="A36" s="10"/>
      <c r="B36" s="10" t="s">
        <v>39</v>
      </c>
      <c r="C36" s="10" t="s">
        <v>80</v>
      </c>
    </row>
    <row r="37" spans="1:3" ht="14.5" thickBot="1" x14ac:dyDescent="0.35">
      <c r="A37" s="10"/>
      <c r="B37" s="10" t="s">
        <v>40</v>
      </c>
      <c r="C37" s="10" t="s">
        <v>81</v>
      </c>
    </row>
    <row r="38" spans="1:3" s="13" customFormat="1" ht="14.5" thickBot="1" x14ac:dyDescent="0.35">
      <c r="A38" s="12" t="s">
        <v>55</v>
      </c>
      <c r="B38" s="12" t="s">
        <v>37</v>
      </c>
      <c r="C38" s="12" t="s">
        <v>82</v>
      </c>
    </row>
    <row r="39" spans="1:3" ht="25.5" thickBot="1" x14ac:dyDescent="0.35">
      <c r="A39" s="10"/>
      <c r="B39" s="10" t="s">
        <v>56</v>
      </c>
      <c r="C39" s="10" t="s">
        <v>83</v>
      </c>
    </row>
    <row r="40" spans="1:3" s="13" customFormat="1" ht="26.5" thickBot="1" x14ac:dyDescent="0.35">
      <c r="A40" s="12" t="s">
        <v>11</v>
      </c>
      <c r="B40" s="12" t="s">
        <v>84</v>
      </c>
      <c r="C40" s="12" t="s">
        <v>85</v>
      </c>
    </row>
  </sheetData>
  <autoFilter ref="A1:C40" xr:uid="{AB7BDE31-130F-4306-B1E7-0124625E7096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3"/>
  <sheetViews>
    <sheetView workbookViewId="0">
      <selection activeCell="A12" sqref="A12"/>
    </sheetView>
  </sheetViews>
  <sheetFormatPr defaultColWidth="8.75" defaultRowHeight="14" x14ac:dyDescent="0.3"/>
  <cols>
    <col min="1" max="1" width="116.83203125" style="5" bestFit="1" customWidth="1"/>
    <col min="2" max="16384" width="8.75" style="5"/>
  </cols>
  <sheetData>
    <row r="1" spans="1:1" x14ac:dyDescent="0.3">
      <c r="A1" s="3" t="s">
        <v>24</v>
      </c>
    </row>
    <row r="2" spans="1:1" x14ac:dyDescent="0.3">
      <c r="A2" s="5" t="s">
        <v>31</v>
      </c>
    </row>
    <row r="3" spans="1:1" x14ac:dyDescent="0.3">
      <c r="A3" s="7" t="s">
        <v>33</v>
      </c>
    </row>
    <row r="4" spans="1:1" x14ac:dyDescent="0.3">
      <c r="A4" s="7" t="s">
        <v>34</v>
      </c>
    </row>
    <row r="6" spans="1:1" x14ac:dyDescent="0.3">
      <c r="A6" s="4" t="s">
        <v>25</v>
      </c>
    </row>
    <row r="7" spans="1:1" x14ac:dyDescent="0.3">
      <c r="A7" s="5" t="s">
        <v>26</v>
      </c>
    </row>
    <row r="8" spans="1:1" x14ac:dyDescent="0.3">
      <c r="A8" s="5" t="s">
        <v>27</v>
      </c>
    </row>
    <row r="9" spans="1:1" x14ac:dyDescent="0.3">
      <c r="A9" s="5" t="s">
        <v>28</v>
      </c>
    </row>
    <row r="10" spans="1:1" x14ac:dyDescent="0.3">
      <c r="A10" s="5" t="s">
        <v>29</v>
      </c>
    </row>
    <row r="12" spans="1:1" ht="28" x14ac:dyDescent="0.3">
      <c r="A12" s="4" t="s">
        <v>32</v>
      </c>
    </row>
    <row r="13" spans="1:1" ht="42" x14ac:dyDescent="0.3">
      <c r="A13" s="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9</vt:i4>
      </vt:variant>
    </vt:vector>
  </HeadingPairs>
  <TitlesOfParts>
    <vt:vector size="13" baseType="lpstr">
      <vt:lpstr>TLS_Matrix</vt:lpstr>
      <vt:lpstr>Sheet1</vt:lpstr>
      <vt:lpstr>Value</vt:lpstr>
      <vt:lpstr>Module</vt:lpstr>
      <vt:lpstr>BE_Trigger_R</vt:lpstr>
      <vt:lpstr>Entry_Type</vt:lpstr>
      <vt:lpstr>Location_Filter</vt:lpstr>
      <vt:lpstr>Partial_Pct</vt:lpstr>
      <vt:lpstr>Partial_R</vt:lpstr>
      <vt:lpstr>Risk_Multiplier</vt:lpstr>
      <vt:lpstr>TP_Param</vt:lpstr>
      <vt:lpstr>TP_Strategy</vt:lpstr>
      <vt:lpstr>Trail_Strategy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 Tien Tai</dc:creator>
  <cp:lastModifiedBy>ADMIN-PC</cp:lastModifiedBy>
  <dcterms:created xsi:type="dcterms:W3CDTF">2026-03-25T02:33:06Z</dcterms:created>
  <dcterms:modified xsi:type="dcterms:W3CDTF">2026-05-29T19:15:41Z</dcterms:modified>
</cp:coreProperties>
</file>